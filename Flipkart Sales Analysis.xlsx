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2.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Ex3.xml" ContentType="application/vnd.ms-office.chartex+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Data Analyst &amp; Data Science\My Projects\"/>
    </mc:Choice>
  </mc:AlternateContent>
  <xr:revisionPtr revIDLastSave="0" documentId="13_ncr:1_{48493096-3D26-4F3B-8E01-2238D66A70A7}" xr6:coauthVersionLast="47" xr6:coauthVersionMax="47" xr10:uidLastSave="{00000000-0000-0000-0000-000000000000}"/>
  <bookViews>
    <workbookView xWindow="-108" yWindow="-108" windowWidth="23256" windowHeight="13896" tabRatio="438" firstSheet="5" activeTab="10" xr2:uid="{E840A1DF-F232-444B-BDC7-AD73F6F5BDAF}"/>
  </bookViews>
  <sheets>
    <sheet name="README" sheetId="22" r:id="rId1"/>
    <sheet name="Raw Data" sheetId="1" r:id="rId2"/>
    <sheet name="Calulation" sheetId="2" r:id="rId3"/>
    <sheet name="Combo Chart" sheetId="6" r:id="rId4"/>
    <sheet name="Waterfall Chart" sheetId="7" r:id="rId5"/>
    <sheet name="Pie Chart" sheetId="8" r:id="rId6"/>
    <sheet name="Top 5" sheetId="11" r:id="rId7"/>
    <sheet name="Map Chart" sheetId="21" r:id="rId8"/>
    <sheet name="KPI" sheetId="13" r:id="rId9"/>
    <sheet name="KPI MOM" sheetId="17" r:id="rId10"/>
    <sheet name=" Dashboard " sheetId="18" r:id="rId11"/>
  </sheets>
  <definedNames>
    <definedName name="_xlchart.v1.0" hidden="1">'Waterfall Chart'!$K$6:$K$9</definedName>
    <definedName name="_xlchart.v1.1" hidden="1">'Waterfall Chart'!$L$5</definedName>
    <definedName name="_xlchart.v1.11" hidden="1">'Waterfall Chart'!$K$6:$K$9</definedName>
    <definedName name="_xlchart.v1.12" hidden="1">'Waterfall Chart'!$L$5</definedName>
    <definedName name="_xlchart.v1.13" hidden="1">'Waterfall Chart'!$L$6:$L$9</definedName>
    <definedName name="_xlchart.v1.2" hidden="1">'Waterfall Chart'!$L$6:$L$9</definedName>
    <definedName name="_xlchart.v5.10" hidden="1">'Map Chart'!$H$9</definedName>
    <definedName name="_xlchart.v5.3" hidden="1">'Map Chart'!$G$10:$G$38</definedName>
    <definedName name="_xlchart.v5.4" hidden="1">'Map Chart'!$G$9</definedName>
    <definedName name="_xlchart.v5.5" hidden="1">'Map Chart'!$H$10:$H$38</definedName>
    <definedName name="_xlchart.v5.6" hidden="1">'Map Chart'!$H$9</definedName>
    <definedName name="_xlchart.v5.7" hidden="1">'Map Chart'!$G$10:$G$38</definedName>
    <definedName name="_xlchart.v5.8" hidden="1">'Map Chart'!$G$9</definedName>
    <definedName name="_xlchart.v5.9" hidden="1">'Map Chart'!$H$10:$H$38</definedName>
    <definedName name="_xlcn.WorksheetConnection_CalulationC7D101" hidden="1">Calulation!$C$7:$D$11</definedName>
    <definedName name="Slicer_Category">#N/A</definedName>
    <definedName name="Slicer_Months__Order_Date">#N/A</definedName>
    <definedName name="Slicer_Payment_Mode">#N/A</definedName>
    <definedName name="Slicer_Region">#N/A</definedName>
    <definedName name="Slicer_State">#N/A</definedName>
  </definedNames>
  <calcPr calcId="191029"/>
  <pivotCaches>
    <pivotCache cacheId="0" r:id="rId12"/>
    <pivotCache cacheId="1" r:id="rId13"/>
  </pivotCaches>
  <extLst>
    <ext xmlns:x14="http://schemas.microsoft.com/office/spreadsheetml/2009/9/main" uri="{BBE1A952-AA13-448e-AADC-164F8A28A991}">
      <x14:slicerCaches>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Calulation!$C$7:$D$10"/>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 i="2" l="1"/>
  <c r="G11" i="21"/>
  <c r="G12" i="21"/>
  <c r="G13" i="21"/>
  <c r="G14" i="21"/>
  <c r="G15" i="21"/>
  <c r="G16" i="21"/>
  <c r="G17" i="21"/>
  <c r="G18" i="21"/>
  <c r="G19" i="21"/>
  <c r="G20" i="21"/>
  <c r="G21" i="21"/>
  <c r="G22" i="21"/>
  <c r="G23" i="21"/>
  <c r="G24" i="21"/>
  <c r="G25" i="21"/>
  <c r="G26" i="21"/>
  <c r="G27" i="21"/>
  <c r="G28" i="21"/>
  <c r="G29" i="21"/>
  <c r="G30" i="21"/>
  <c r="G31" i="21"/>
  <c r="G32" i="21"/>
  <c r="G33" i="21"/>
  <c r="G34" i="21"/>
  <c r="G35" i="21"/>
  <c r="G36" i="21"/>
  <c r="G37" i="21"/>
  <c r="G38" i="21"/>
  <c r="G10" i="21"/>
  <c r="F24" i="2" a="1"/>
  <c r="F24" i="2" s="1"/>
  <c r="G24" i="2" s="1"/>
  <c r="F17" i="2" a="1"/>
  <c r="F17" i="2" s="1"/>
  <c r="G17" i="2" s="1"/>
  <c r="L17" i="2" a="1"/>
  <c r="M26" i="2" s="1"/>
  <c r="D10" i="2"/>
  <c r="L8" i="2" a="1"/>
  <c r="M9" i="2" s="1" a="1"/>
  <c r="M9" i="2" s="1"/>
  <c r="I8" i="2" a="1"/>
  <c r="I8" i="2" s="1"/>
  <c r="I17" i="2" a="1"/>
  <c r="I17" i="2" s="1"/>
  <c r="J17" i="2" s="1"/>
  <c r="F8" i="2" a="1"/>
  <c r="G11" i="2" s="1"/>
  <c r="D11" i="2"/>
  <c r="D8" i="2"/>
  <c r="K7" i="7"/>
  <c r="K8" i="7"/>
  <c r="K9" i="7"/>
  <c r="K6" i="7"/>
  <c r="K15" i="13"/>
  <c r="N13" i="17"/>
  <c r="K13" i="17"/>
  <c r="D15" i="13"/>
  <c r="L13" i="17"/>
  <c r="M13" i="17"/>
  <c r="G15" i="13"/>
  <c r="L9" i="7"/>
  <c r="N15" i="13"/>
  <c r="L7" i="7"/>
  <c r="L8" i="7"/>
  <c r="L6" i="7"/>
  <c r="H30" i="21"/>
  <c r="H18" i="21"/>
  <c r="H24" i="21"/>
  <c r="H25" i="21"/>
  <c r="H26" i="21"/>
  <c r="H28" i="21"/>
  <c r="H35" i="21"/>
  <c r="H33" i="21"/>
  <c r="H15" i="21"/>
  <c r="H23" i="21"/>
  <c r="H31" i="21"/>
  <c r="H16" i="21"/>
  <c r="H34" i="21"/>
  <c r="H22" i="21"/>
  <c r="H11" i="21"/>
  <c r="H12" i="21"/>
  <c r="H21" i="21"/>
  <c r="H32" i="21"/>
  <c r="H13" i="21"/>
  <c r="H37" i="21"/>
  <c r="H29" i="21"/>
  <c r="H17" i="21"/>
  <c r="H19" i="21"/>
  <c r="H14" i="21"/>
  <c r="H20" i="21"/>
  <c r="H36" i="21"/>
  <c r="H38" i="21"/>
  <c r="H27" i="21"/>
  <c r="H10" i="21"/>
  <c r="J10" i="2" l="1"/>
  <c r="J20" i="2"/>
  <c r="J21" i="2"/>
  <c r="M24" i="2"/>
  <c r="M22" i="2"/>
  <c r="G19" i="2"/>
  <c r="J24" i="2"/>
  <c r="M20" i="2"/>
  <c r="M21" i="2"/>
  <c r="G26" i="2"/>
  <c r="G18" i="2"/>
  <c r="J25" i="2"/>
  <c r="J26" i="2"/>
  <c r="J9" i="2"/>
  <c r="J19" i="2"/>
  <c r="J18" i="2"/>
  <c r="G10" i="2"/>
  <c r="M11" i="2" a="1"/>
  <c r="M11" i="2" s="1"/>
  <c r="L8" i="2"/>
  <c r="M8" i="2" s="1" a="1"/>
  <c r="M8" i="2" s="1"/>
  <c r="M10" i="2" a="1"/>
  <c r="M10" i="2" s="1"/>
  <c r="M12" i="2" a="1"/>
  <c r="M12" i="2" s="1"/>
  <c r="J11" i="2"/>
  <c r="M19" i="2"/>
  <c r="F8" i="2"/>
  <c r="L17" i="2"/>
  <c r="M17" i="2" s="1"/>
  <c r="M25" i="2"/>
  <c r="M23" i="2"/>
  <c r="M18" i="2"/>
  <c r="J22" i="2"/>
  <c r="J23" i="2"/>
  <c r="G9" i="2"/>
  <c r="G25" i="2"/>
  <c r="G8" i="2" l="1"/>
  <c r="J8"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A02F85D-0147-40E6-99FD-E0319CA764C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1595A8F-A92A-4043-800D-8EA57ECFF7C9}" name="WorksheetConnection_Calulation!$C$7:$D$10" type="102" refreshedVersion="8" minRefreshableVersion="5">
    <extLst>
      <ext xmlns:x15="http://schemas.microsoft.com/office/spreadsheetml/2010/11/main" uri="{DE250136-89BD-433C-8126-D09CA5730AF9}">
        <x15:connection id="Range" autoDelete="1">
          <x15:rangePr sourceName="_xlcn.WorksheetConnection_CalulationC7D10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<sst xmlns="http://schemas.openxmlformats.org/spreadsheetml/2006/main" count="838" uniqueCount="326">
  <si>
    <t>Order_ID</t>
  </si>
  <si>
    <t>Customer_ID</t>
  </si>
  <si>
    <t>Product</t>
  </si>
  <si>
    <t>Category</t>
  </si>
  <si>
    <t>Order_Date</t>
  </si>
  <si>
    <t>Ship_Date</t>
  </si>
  <si>
    <t>Region</t>
  </si>
  <si>
    <t>Quantity</t>
  </si>
  <si>
    <t>Price</t>
  </si>
  <si>
    <t>Discount(%)</t>
  </si>
  <si>
    <t>Order_Value</t>
  </si>
  <si>
    <t>Profit</t>
  </si>
  <si>
    <t>Payment_Mode</t>
  </si>
  <si>
    <t>ORD1001</t>
  </si>
  <si>
    <t>CUST101</t>
  </si>
  <si>
    <t>Mobile</t>
  </si>
  <si>
    <t>Electronics</t>
  </si>
  <si>
    <t>North</t>
  </si>
  <si>
    <t>UPI</t>
  </si>
  <si>
    <t>ORD1002</t>
  </si>
  <si>
    <t>CUST102</t>
  </si>
  <si>
    <t>Laptop</t>
  </si>
  <si>
    <t>South</t>
  </si>
  <si>
    <t>Credit Card</t>
  </si>
  <si>
    <t>ORD1003</t>
  </si>
  <si>
    <t>CUST103</t>
  </si>
  <si>
    <t>Shoes</t>
  </si>
  <si>
    <t>Fashion</t>
  </si>
  <si>
    <t>West</t>
  </si>
  <si>
    <t>COD</t>
  </si>
  <si>
    <t>ORD1004</t>
  </si>
  <si>
    <t>CUST104</t>
  </si>
  <si>
    <t>Watch</t>
  </si>
  <si>
    <t>East</t>
  </si>
  <si>
    <t>Wallet</t>
  </si>
  <si>
    <t>ORD1005</t>
  </si>
  <si>
    <t>CUST105</t>
  </si>
  <si>
    <t>TV</t>
  </si>
  <si>
    <t>Debit Card</t>
  </si>
  <si>
    <t>ORD1006</t>
  </si>
  <si>
    <t>CUST106</t>
  </si>
  <si>
    <t>Microwave</t>
  </si>
  <si>
    <t>Home Appliance</t>
  </si>
  <si>
    <t>ORD1007</t>
  </si>
  <si>
    <t>CUST107</t>
  </si>
  <si>
    <t>Camera</t>
  </si>
  <si>
    <t>ORD1008</t>
  </si>
  <si>
    <t>CUST108</t>
  </si>
  <si>
    <t>Refrigerator</t>
  </si>
  <si>
    <t>ORD1009</t>
  </si>
  <si>
    <t>CUST109</t>
  </si>
  <si>
    <t>AC</t>
  </si>
  <si>
    <t>ORD1010</t>
  </si>
  <si>
    <t>CUST110</t>
  </si>
  <si>
    <t>Headphones</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</si>
  <si>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</si>
  <si>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</si>
  <si>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</si>
  <si>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</si>
  <si>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</si>
  <si>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</si>
  <si>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</si>
  <si>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</si>
  <si>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</si>
  <si>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</si>
  <si>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</si>
  <si>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</si>
  <si>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</si>
  <si>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</si>
  <si>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</si>
  <si>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</si>
  <si>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</si>
  <si>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</si>
  <si>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</si>
  <si>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</si>
  <si>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</si>
  <si>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</si>
  <si>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</si>
  <si>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</si>
  <si>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</si>
  <si>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</si>
  <si>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</si>
  <si>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</si>
  <si>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</si>
  <si>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</si>
  <si>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</si>
  <si>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</si>
  <si>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</si>
  <si>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</si>
  <si>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</si>
  <si>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</si>
  <si>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</si>
  <si>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</si>
  <si>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</si>
  <si>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</si>
  <si>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</si>
  <si>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</si>
  <si>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</si>
  <si>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</si>
  <si>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</si>
  <si>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</si>
  <si>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</si>
  <si>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</si>
  <si>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</si>
  <si>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</si>
  <si>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</si>
  <si>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</si>
  <si>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</si>
  <si>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</si>
  <si>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</si>
  <si>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</si>
  <si>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</si>
  <si>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</si>
  <si>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</si>
  <si>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</si>
  <si>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</si>
  <si>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</si>
  <si>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</si>
  <si>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</si>
  <si>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</si>
  <si>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</si>
  <si>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</si>
  <si>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</si>
  <si>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</si>
  <si>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</si>
  <si>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</si>
  <si>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</si>
  <si>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</si>
  <si>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</si>
  <si>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</si>
  <si>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</si>
  <si>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</si>
  <si>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</si>
  <si>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</si>
  <si>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</si>
  <si>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</si>
  <si>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</si>
  <si>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</si>
  <si>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</si>
  <si>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</si>
  <si>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</si>
  <si>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</si>
  <si>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</si>
  <si>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</si>
  <si>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</si>
  <si>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</si>
  <si>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</si>
  <si>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</si>
  <si>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</si>
  <si>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</si>
  <si>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</si>
  <si>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</si>
  <si>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</si>
  <si>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</si>
  <si>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</si>
  <si>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</si>
  <si>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</si>
  <si>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</si>
  <si>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</si>
  <si>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</si>
  <si>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</si>
  <si>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</si>
  <si>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</si>
  <si>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</si>
  <si>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</si>
  <si>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</si>
  <si>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</si>
  <si>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</si>
  <si>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</si>
  <si>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</si>
  <si>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</si>
  <si>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</si>
  <si>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</si>
  <si>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</si>
  <si>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</si>
  <si>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</si>
  <si>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</si>
  <si>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</si>
  <si>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</si>
  <si>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</si>
  <si>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</si>
  <si>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</si>
  <si>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</si>
  <si>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</si>
  <si>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</si>
  <si>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</si>
  <si>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</si>
  <si>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</si>
  <si>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</si>
  <si>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</si>
  <si>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</si>
  <si>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</si>
  <si>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</si>
  <si>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</si>
  <si>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</si>
  <si>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</si>
  <si>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</si>
  <si>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</si>
  <si>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</si>
  <si>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</si>
  <si>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</si>
  <si>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</si>
  <si>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</si>
  <si>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</si>
  <si>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</si>
  <si>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</si>
  <si>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</si>
  <si>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</si>
  <si>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</si>
  <si>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</si>
  <si>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</si>
  <si>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</si>
  <si>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</si>
  <si>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</si>
  <si>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</si>
  <si>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</si>
  <si>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</si>
  <si>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</si>
  <si>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</si>
  <si>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</si>
  <si>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</si>
  <si>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</si>
  <si>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</si>
  <si>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</si>
  <si>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</si>
  <si>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</si>
  <si>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</si>
  <si>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</si>
  <si>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</si>
  <si>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</si>
  <si>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</si>
  <si>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</si>
  <si>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</si>
  <si>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</si>
  <si>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</si>
  <si>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Total Sales</t>
  </si>
  <si>
    <t>Total Profit</t>
  </si>
  <si>
    <t>Avgerage Order Value</t>
  </si>
  <si>
    <t>Total Quantity Sold</t>
  </si>
  <si>
    <t>Sales</t>
  </si>
  <si>
    <t>Payment Mode</t>
  </si>
  <si>
    <t>Customers</t>
  </si>
  <si>
    <t>Sales Performance</t>
  </si>
  <si>
    <t>Region wise Sales</t>
  </si>
  <si>
    <t>Region wise Profit</t>
  </si>
  <si>
    <t>Category wise sales</t>
  </si>
  <si>
    <t>Product wise Profitability</t>
  </si>
  <si>
    <t>Payment mode wise customer</t>
  </si>
  <si>
    <t>Row Labels</t>
  </si>
  <si>
    <t>Grand Total</t>
  </si>
  <si>
    <t>Sum of Profit</t>
  </si>
  <si>
    <t>Sum of Quantity</t>
  </si>
  <si>
    <t>Product wise Quantity</t>
  </si>
  <si>
    <t>Category wise Quantity</t>
  </si>
  <si>
    <t>Jan</t>
  </si>
  <si>
    <t>Apr</t>
  </si>
  <si>
    <t>May</t>
  </si>
  <si>
    <t>Sum of Order_Value</t>
  </si>
  <si>
    <t xml:space="preserve"> </t>
  </si>
  <si>
    <t xml:space="preserve">Category </t>
  </si>
  <si>
    <t>State</t>
  </si>
  <si>
    <t>Andhra Pradesh</t>
  </si>
  <si>
    <t>Arunachal Pradesh</t>
  </si>
  <si>
    <t>Assam</t>
  </si>
  <si>
    <t>Bihar</t>
  </si>
  <si>
    <t>Chhattisgarh</t>
  </si>
  <si>
    <t>Gujarat</t>
  </si>
  <si>
    <t>Haryana</t>
  </si>
  <si>
    <t>Himachal Pradesh</t>
  </si>
  <si>
    <t>Jharkhand</t>
  </si>
  <si>
    <t>Karnataka</t>
  </si>
  <si>
    <t>Kerala</t>
  </si>
  <si>
    <t>Madhya Pradesh</t>
  </si>
  <si>
    <t>Maharashtra</t>
  </si>
  <si>
    <t>Manipur</t>
  </si>
  <si>
    <t>Meghalaya</t>
  </si>
  <si>
    <t>Mizoram</t>
  </si>
  <si>
    <t>Nagaland</t>
  </si>
  <si>
    <t>Odisha (Orissa)</t>
  </si>
  <si>
    <t>Punjab</t>
  </si>
  <si>
    <t>Rajasthan</t>
  </si>
  <si>
    <t>Sikkim</t>
  </si>
  <si>
    <t>Tamil Nadu</t>
  </si>
  <si>
    <t>Telangana</t>
  </si>
  <si>
    <t>Tripura</t>
  </si>
  <si>
    <t>Uttar Pradesh</t>
  </si>
  <si>
    <t>Uttarakhand</t>
  </si>
  <si>
    <t xml:space="preserve"> West Bengal</t>
  </si>
  <si>
    <t>Count of Customer_ID</t>
  </si>
  <si>
    <t>Count of Order_ID</t>
  </si>
  <si>
    <t>Jammu Kashmir</t>
  </si>
  <si>
    <t>Ladakh</t>
  </si>
  <si>
    <t>FLIPKART SALES DASHBOARD PROJECT</t>
  </si>
  <si>
    <t>This project is based on Flipkart's sales dataset. Using Microsoft</t>
  </si>
  <si>
    <t>Excel, we performed data cleaning, calculations, and created an</t>
  </si>
  <si>
    <t>interactive dashboard to analyze sales, profit, customers, and other key</t>
  </si>
  <si>
    <t>metrics.</t>
  </si>
  <si>
    <t>Project Description</t>
  </si>
  <si>
    <t>Objectives</t>
  </si>
  <si>
    <t>-   Calculate Total Sales, Profit, Orders, and Customers</t>
  </si>
  <si>
    <t>-   Analyze Region-wise &amp; State-wise performance</t>
  </si>
  <si>
    <t>-   Category-wise and Top Products analysis</t>
  </si>
  <si>
    <t>-   Understand Payment mode usage</t>
  </si>
  <si>
    <t>-   Monthly/Yearly growth tracking</t>
  </si>
  <si>
    <t>Data Description</t>
  </si>
  <si>
    <t xml:space="preserve">Ship_Date, State, Region, Quantity, Price, Discount(%), Order_Value, </t>
  </si>
  <si>
    <t>Payment_Mode.</t>
  </si>
  <si>
    <t>Process / Steps</t>
  </si>
  <si>
    <t xml:space="preserve">                           a single dashboard.</t>
  </si>
  <si>
    <t>Dashboard Features</t>
  </si>
  <si>
    <t>KPI Cards (Total Sales, Profit, Orders, Customers, Profit Margin %)</t>
  </si>
  <si>
    <t>Monthly Sales &amp; Profit Trend</t>
  </si>
  <si>
    <t>Region-wise Sales &amp; Profit</t>
  </si>
  <si>
    <t>State-wise Sales Map Chart</t>
  </si>
  <si>
    <t>Category &amp; Top 5 Products Analysis</t>
  </si>
  <si>
    <t>Payment Mode Share</t>
  </si>
  <si>
    <t>How to Use</t>
  </si>
  <si>
    <t>Open the Excel file</t>
  </si>
  <si>
    <t>Use filters (slicers) to view interactive analysis</t>
  </si>
  <si>
    <r>
      <t xml:space="preserve">Columns: </t>
    </r>
    <r>
      <rPr>
        <sz val="10"/>
        <color theme="1"/>
        <rFont val="Calibri"/>
        <family val="2"/>
        <scheme val="minor"/>
      </rPr>
      <t xml:space="preserve">Order_ID, Customer_ID, Product, Category, Order_Date, </t>
    </r>
  </si>
  <si>
    <r>
      <t>Data Cleaning</t>
    </r>
    <r>
      <rPr>
        <sz val="10"/>
        <color theme="1"/>
        <rFont val="Calibri"/>
        <family val="2"/>
        <scheme val="minor"/>
      </rPr>
      <t xml:space="preserve"> – Removed empty rows, corrected formats</t>
    </r>
  </si>
  <si>
    <r>
      <t>Calculations</t>
    </r>
    <r>
      <rPr>
        <sz val="10"/>
        <color theme="1"/>
        <rFont val="Calibri"/>
        <family val="2"/>
        <scheme val="minor"/>
      </rPr>
      <t xml:space="preserve"> – Created Pivot Tables and KPIs</t>
    </r>
  </si>
  <si>
    <r>
      <t>Visualization</t>
    </r>
    <r>
      <rPr>
        <sz val="10"/>
        <color theme="1"/>
        <rFont val="Calibri"/>
        <family val="2"/>
        <scheme val="minor"/>
      </rPr>
      <t xml:space="preserve"> – Built Combo, Pie, Waterfall, Map charts and KPI cards into</t>
    </r>
  </si>
  <si>
    <r>
      <t>Interactivity</t>
    </r>
    <r>
      <rPr>
        <sz val="10"/>
        <color theme="1"/>
        <rFont val="Calibri"/>
        <family val="2"/>
        <scheme val="minor"/>
      </rPr>
      <t xml:space="preserve"> – Added slicers (Date, Region, Category, Payment Mode)</t>
    </r>
  </si>
  <si>
    <r>
      <t xml:space="preserve">Go to the </t>
    </r>
    <r>
      <rPr>
        <b/>
        <sz val="10"/>
        <color theme="1"/>
        <rFont val="Calibri"/>
        <family val="2"/>
        <scheme val="minor"/>
      </rPr>
      <t>Dashboard</t>
    </r>
    <r>
      <rPr>
        <sz val="10"/>
        <color theme="1"/>
        <rFont val="Calibri"/>
        <family val="2"/>
        <scheme val="minor"/>
      </rPr>
      <t xml:space="preserve"> sheet</t>
    </r>
  </si>
  <si>
    <r>
      <t xml:space="preserve">Source: </t>
    </r>
    <r>
      <rPr>
        <sz val="10"/>
        <color theme="1"/>
        <rFont val="Calibri"/>
        <family val="2"/>
        <scheme val="minor"/>
      </rPr>
      <t>Simulated Flipkart sales dataset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</si>
</sst>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 &quot;₹&quot;"/>
    <numFmt numFmtId="165" formatCode="##\,##\,##0\ &quot;₹&quot;"/>
    <numFmt numFmtId="166" formatCode="&quot;#&quot;\ 0"/>
    <numFmt numFmtId="167" formatCode="[Green]\▲\ 0.00%\ ;[Red]\ \▼\ 0.00%\ "/>
  </numFmts>
  <fonts count="11" x14ac:knownFonts="1">
    <font>
      <sz val="11"/>
      <color theme="1"/>
      <name val="Calibri"/>
      <family val="2"/>
      <scheme val="minor"/>
    </font>
    <font>
      <sz val="8"/>
      <name val="Calibri"/>
      <family val="2"/>
      <scheme val="minor"/>
    </font>
    <font>
      <b/>
      <sz val="11"/>
      <color rgb="FFFF0000"/>
      <name val="Calibri"/>
      <family val="2"/>
      <scheme val="minor"/>
    </font>
    <font>
      <sz val="24"/>
      <color theme="1"/>
      <name val="Calibri"/>
      <family val="2"/>
      <scheme val="minor"/>
    </font>
    <font>
      <b/>
      <sz val="12"/>
      <color theme="1"/>
      <name val="Calibri"/>
      <family val="2"/>
      <scheme val="minor"/>
    </font>
    <font>
      <b/>
      <sz val="11"/>
      <color theme="1"/>
      <name val="Calibri"/>
      <family val="2"/>
      <scheme val="minor"/>
    </font>
    <font>
      <b/>
      <sz val="10"/>
      <color theme="1"/>
      <name val="Calibri"/>
      <family val="2"/>
      <scheme val="minor"/>
    </font>
    <font>
      <sz val="11"/>
      <color theme="1"/>
      <name val="Cooper Black"/>
      <family val="1"/>
    </font>
    <font>
      <sz val="10"/>
      <color theme="1"/>
      <name val="Calibri"/>
      <family val="2"/>
      <scheme val="minor"/>
    </font>
    <font>
      <sz val="10"/>
      <color theme="1"/>
      <name val="Cooper Black"/>
      <family val="1"/>
    </font>
    <font>
      <b/>
      <sz val="16"/>
      <color theme="7"/>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1"/>
        <bgColor indexed="64"/>
      </patternFill>
    </fill>
    <fill>
      <patternFill patternType="solid">
        <fgColor theme="7"/>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top style="thin">
        <color indexed="64"/>
      </top>
      <bottom style="thin">
        <color indexed="64"/>
      </bottom>
      <diagonal/>
    </border>
    <border>
      <left style="thin">
        <color indexed="64"/>
      </left>
      <right/>
      <top style="thin">
        <color indexed="64"/>
      </top>
      <bottom style="thin">
        <color theme="4" tint="0.39997558519241921"/>
      </bottom>
      <diagonal/>
    </border>
  </borders>
  <cellStyleXfs count="1">
    <xf numFmtId="0" fontId="0" fillId="0" borderId="0"/>
  </cellStyleXfs>
  <cellXfs count="56">
    <xf numFmtId="0" fontId="0" fillId="0" borderId="0" xfId="0"/>
    <xf numFmtId="0" fontId="0" fillId="0" borderId="0" xfId="0" applyAlignment="1">
      <alignment horizontal="center" vertical="center" wrapText="1"/>
    </xf>
    <xf numFmtId="14" fontId="0" fillId="0" borderId="0" xfId="0" applyNumberFormat="1"/>
    <xf numFmtId="14" fontId="0" fillId="0" borderId="0" xfId="0" applyNumberFormat="1" applyAlignment="1">
      <alignment horizontal="center" vertical="center" wrapText="1"/>
    </xf>
    <xf numFmtId="164" fontId="0" fillId="0" borderId="0" xfId="0" applyNumberFormat="1" applyAlignment="1">
      <alignment horizontal="center" vertical="center" wrapText="1"/>
    </xf>
    <xf numFmtId="164" fontId="0" fillId="0" borderId="0" xfId="0" applyNumberFormat="1"/>
    <xf numFmtId="0" fontId="0" fillId="0" borderId="0" xfId="0" applyAlignment="1">
      <alignment horizontal="center"/>
    </xf>
    <xf numFmtId="0" fontId="3" fillId="0" borderId="0" xfId="0" applyFont="1"/>
    <xf numFmtId="0" fontId="4" fillId="0" borderId="0" xfId="0" applyFont="1" applyAlignment="1">
      <alignment horizontal="left" indent="7"/>
    </xf>
    <xf numFmtId="0" fontId="4" fillId="0" borderId="0" xfId="0" applyFont="1" applyAlignment="1">
      <alignment horizontal="left" indent="6"/>
    </xf>
    <xf numFmtId="0" fontId="4" fillId="0" borderId="0" xfId="0" applyFont="1" applyAlignment="1">
      <alignment horizontal="left" indent="2"/>
    </xf>
    <xf numFmtId="0" fontId="4" fillId="0" borderId="0" xfId="0" applyFont="1"/>
    <xf numFmtId="0" fontId="4" fillId="0" borderId="0" xfId="0" applyFont="1" applyAlignment="1">
      <alignment horizontal="left" indent="5"/>
    </xf>
    <xf numFmtId="0" fontId="4" fillId="0" borderId="0" xfId="0" applyFont="1" applyAlignment="1">
      <alignment horizontal="left"/>
    </xf>
    <xf numFmtId="0" fontId="0" fillId="0" borderId="1" xfId="0" applyBorder="1" applyAlignment="1">
      <alignment horizontal="center"/>
    </xf>
    <xf numFmtId="165" fontId="0" fillId="0" borderId="1" xfId="0" applyNumberFormat="1" applyBorder="1" applyAlignment="1">
      <alignment horizontal="center"/>
    </xf>
    <xf numFmtId="164" fontId="0" fillId="0" borderId="1" xfId="0" applyNumberFormat="1" applyBorder="1" applyAlignment="1">
      <alignment horizontal="center"/>
    </xf>
    <xf numFmtId="0" fontId="4" fillId="0" borderId="0" xfId="0" applyFont="1" applyAlignment="1">
      <alignment horizontal="left" indent="1"/>
    </xf>
    <xf numFmtId="165" fontId="0" fillId="0" borderId="0" xfId="0" applyNumberFormat="1" applyAlignment="1">
      <alignment horizontal="center"/>
    </xf>
    <xf numFmtId="0" fontId="0" fillId="0" borderId="1" xfId="0" pivotButton="1" applyBorder="1" applyAlignment="1">
      <alignment horizontal="center"/>
    </xf>
    <xf numFmtId="166" fontId="0" fillId="0" borderId="0" xfId="0" applyNumberFormat="1" applyAlignment="1">
      <alignment horizontal="center"/>
    </xf>
    <xf numFmtId="167" fontId="0" fillId="0" borderId="0" xfId="0" applyNumberFormat="1"/>
    <xf numFmtId="0" fontId="0" fillId="3" borderId="3" xfId="0" applyFill="1" applyBorder="1" applyAlignment="1">
      <alignment horizontal="center" vertical="center" wrapText="1"/>
    </xf>
    <xf numFmtId="14" fontId="0" fillId="3" borderId="3" xfId="0" applyNumberFormat="1" applyFill="1" applyBorder="1" applyAlignment="1">
      <alignment horizontal="center" vertical="center" wrapText="1"/>
    </xf>
    <xf numFmtId="0" fontId="0" fillId="3" borderId="3" xfId="0" applyFill="1" applyBorder="1" applyAlignment="1">
      <alignment horizontal="center"/>
    </xf>
    <xf numFmtId="164" fontId="0" fillId="3" borderId="3" xfId="0" applyNumberFormat="1" applyFill="1" applyBorder="1" applyAlignment="1">
      <alignment horizontal="center" vertical="center" wrapText="1"/>
    </xf>
    <xf numFmtId="0" fontId="0" fillId="0" borderId="3" xfId="0" applyBorder="1" applyAlignment="1">
      <alignment horizontal="center" vertical="center" wrapText="1"/>
    </xf>
    <xf numFmtId="14" fontId="0" fillId="0" borderId="3" xfId="0" applyNumberFormat="1" applyBorder="1" applyAlignment="1">
      <alignment horizontal="center" vertical="center" wrapText="1"/>
    </xf>
    <xf numFmtId="0" fontId="0" fillId="0" borderId="3" xfId="0" applyBorder="1" applyAlignment="1">
      <alignment horizontal="center"/>
    </xf>
    <xf numFmtId="164" fontId="0" fillId="0" borderId="3" xfId="0" applyNumberFormat="1" applyBorder="1" applyAlignment="1">
      <alignment horizontal="center" vertical="center" wrapText="1"/>
    </xf>
    <xf numFmtId="0" fontId="0" fillId="3" borderId="3" xfId="0" applyFill="1" applyBorder="1" applyAlignment="1">
      <alignment horizontal="center" vertical="center"/>
    </xf>
    <xf numFmtId="0" fontId="0" fillId="0" borderId="2" xfId="0" applyBorder="1" applyAlignment="1">
      <alignment horizontal="center" vertical="center" wrapText="1"/>
    </xf>
    <xf numFmtId="14" fontId="0" fillId="0" borderId="2" xfId="0" applyNumberFormat="1" applyBorder="1" applyAlignment="1">
      <alignment horizontal="center" vertical="center" wrapText="1"/>
    </xf>
    <xf numFmtId="164" fontId="0" fillId="0" borderId="2" xfId="0" applyNumberFormat="1" applyBorder="1" applyAlignment="1">
      <alignment horizontal="center" vertical="center" wrapText="1"/>
    </xf>
    <xf numFmtId="0" fontId="0" fillId="3" borderId="4" xfId="0" applyFill="1" applyBorder="1" applyAlignment="1">
      <alignment horizontal="center" vertical="center" wrapText="1"/>
    </xf>
    <xf numFmtId="0" fontId="0" fillId="0" borderId="4" xfId="0" applyBorder="1" applyAlignment="1">
      <alignment horizontal="center" vertical="center" wrapText="1"/>
    </xf>
    <xf numFmtId="0" fontId="0" fillId="0" borderId="6" xfId="0" applyBorder="1" applyAlignment="1">
      <alignment horizontal="center" vertical="center" wrapText="1"/>
    </xf>
    <xf numFmtId="0" fontId="2" fillId="2" borderId="0" xfId="0" applyFont="1" applyFill="1" applyAlignment="1">
      <alignment horizontal="center" vertical="center" wrapText="1"/>
    </xf>
    <xf numFmtId="0" fontId="2" fillId="2" borderId="5" xfId="0" applyFont="1" applyFill="1" applyBorder="1" applyAlignment="1">
      <alignment horizontal="center" vertical="center" wrapText="1"/>
    </xf>
    <xf numFmtId="14" fontId="2" fillId="2" borderId="5" xfId="0" applyNumberFormat="1" applyFont="1" applyFill="1" applyBorder="1" applyAlignment="1">
      <alignment horizontal="center" vertical="center" wrapText="1"/>
    </xf>
    <xf numFmtId="164" fontId="2" fillId="2" borderId="5" xfId="0" applyNumberFormat="1" applyFont="1" applyFill="1" applyBorder="1" applyAlignment="1">
      <alignment horizontal="center" vertical="center" wrapText="1"/>
    </xf>
    <xf numFmtId="164" fontId="0" fillId="0" borderId="0" xfId="0" applyNumberFormat="1" applyAlignment="1">
      <alignment horizontal="center"/>
    </xf>
    <xf numFmtId="0" fontId="0" fillId="0" borderId="7" xfId="0" applyBorder="1" applyAlignment="1">
      <alignment horizontal="center"/>
    </xf>
    <xf numFmtId="0" fontId="5" fillId="0" borderId="1" xfId="0" applyFont="1" applyBorder="1" applyAlignment="1">
      <alignment horizontal="center"/>
    </xf>
    <xf numFmtId="10" fontId="0" fillId="0" borderId="1" xfId="0" applyNumberFormat="1" applyBorder="1" applyAlignment="1">
      <alignment horizontal="center"/>
    </xf>
    <xf numFmtId="164" fontId="5" fillId="0" borderId="1" xfId="0" applyNumberFormat="1" applyFont="1" applyBorder="1" applyAlignment="1">
      <alignment horizontal="center"/>
    </xf>
    <xf numFmtId="0" fontId="5" fillId="0" borderId="0" xfId="0" applyFont="1"/>
    <xf numFmtId="0" fontId="0" fillId="0" borderId="0" xfId="0" applyAlignment="1">
      <alignment horizontal="left" vertical="center" indent="1"/>
    </xf>
    <xf numFmtId="0" fontId="7" fillId="0" borderId="0" xfId="0" applyFont="1" applyAlignment="1">
      <alignment horizontal="center"/>
    </xf>
    <xf numFmtId="0" fontId="8" fillId="0" borderId="1" xfId="0" applyFont="1" applyBorder="1"/>
    <xf numFmtId="0" fontId="6" fillId="0" borderId="1" xfId="0" applyFont="1" applyBorder="1" applyAlignment="1">
      <alignment vertical="center"/>
    </xf>
    <xf numFmtId="0" fontId="6" fillId="0" borderId="1" xfId="0" applyFont="1" applyBorder="1"/>
    <xf numFmtId="0" fontId="8" fillId="0" borderId="1" xfId="0" applyFont="1" applyBorder="1" applyAlignment="1">
      <alignment horizontal="left" vertical="center" indent="1"/>
    </xf>
    <xf numFmtId="0" fontId="10" fillId="4" borderId="1" xfId="0" applyFont="1" applyFill="1" applyBorder="1" applyAlignment="1">
      <alignment horizontal="center" vertical="center"/>
    </xf>
    <xf numFmtId="0" fontId="9" fillId="5" borderId="1" xfId="0" applyFont="1" applyFill="1" applyBorder="1" applyAlignment="1">
      <alignment horizontal="center" vertical="center"/>
    </xf>
    <xf numFmtId="0" fontId="9" fillId="5" borderId="1" xfId="0" applyFont="1" applyFill="1" applyBorder="1" applyAlignment="1">
      <alignment horizontal="center"/>
    </xf>
  </cellXfs>
  <cellStyles count="1">
    <cellStyle name="Normal" xfId="0" builtinId="0"/>
  </cellStyles>
  <dxfs count="234">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165" formatCode="##\,##\,##0\ &quot;₹&quot;"/>
    </dxf>
    <dxf>
      <numFmt numFmtId="165" formatCode="##\,##\,##0\ &quot;₹&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165" formatCode="##\,##\,##0\ &quot;₹&quot;"/>
    </dxf>
    <dxf>
      <numFmt numFmtId="165" formatCode="##\,##\,##0\ &quot;₹&quot;"/>
    </dxf>
    <dxf>
      <numFmt numFmtId="165" formatCode="##\,##\,##0\ &quot;₹&quot;"/>
    </dxf>
    <dxf>
      <numFmt numFmtId="165" formatCode="##\,##\,##0\ &quot;₹&quot;"/>
    </dxf>
    <dxf>
      <numFmt numFmtId="165" formatCode="##\,##\,##0\ &quot;₹&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numFmt numFmtId="165" formatCode="##\,##\,##0\ &quot;₹&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164" formatCode="#,##0\ &quot;₹&quot;"/>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164" formatCode="#,##0\ &quot;₹&quot;"/>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164" formatCode="#,##0\ &quot;₹&quot;"/>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19" formatCode="d/mm/yyyy"/>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19" formatCode="d/mm/yyyy"/>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right/>
        <top style="thin">
          <color indexed="64"/>
        </top>
        <bottom/>
        <vertical/>
        <horizontal/>
      </border>
    </dxf>
    <dxf>
      <border outline="0">
        <left style="thin">
          <color indexed="64"/>
        </left>
        <right style="thin">
          <color indexed="64"/>
        </right>
        <top style="thin">
          <color indexed="64"/>
        </top>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rgb="FFFF0000"/>
        <name val="Calibri"/>
        <family val="2"/>
        <scheme val="minor"/>
      </font>
      <numFmt numFmtId="164" formatCode="#,##0\ &quot;₹&quot;"/>
      <fill>
        <patternFill patternType="solid">
          <fgColor indexed="64"/>
          <bgColor rgb="FFFFFF0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i val="0"/>
      </font>
      <fill>
        <patternFill>
          <bgColor theme="7" tint="0.59996337778862885"/>
        </patternFill>
      </fill>
      <border diagonalUp="0" diagonalDown="0">
        <left/>
        <right/>
        <top/>
        <bottom/>
        <vertical/>
        <horizontal/>
      </border>
    </dxf>
  </dxfs>
  <tableStyles count="2" defaultTableStyle="TableStyleMedium2" defaultPivotStyle="PivotStyleLight16">
    <tableStyle name="AB" pivot="0" table="0" count="3" xr9:uid="{8037C7E7-34C9-48B8-BF57-13F1E8209744}">
      <tableStyleElement type="wholeTable" dxfId="233"/>
    </tableStyle>
    <tableStyle name="Invisible" pivot="0" table="0" count="0" xr9:uid="{D5B93DD9-030C-424F-BD9D-EE94B9E11ABC}"/>
  </tableStyles>
  <colors>
    <mruColors>
      <color rgb="FFE66914"/>
      <color rgb="FFFFD653"/>
    </mruColors>
  </colors>
  <extLst>
    <ext xmlns:x14="http://schemas.microsoft.com/office/spreadsheetml/2009/9/main" uri="{46F421CA-312F-682f-3DD2-61675219B42D}">
      <x14:dxfs count="2">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AB">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Flipkart Project.xlsx]Combo Chart!PivotTable10</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'Combo Chart'!$K$3</c:f>
              <c:strCache>
                <c:ptCount val="1"/>
                <c:pt idx="0">
                  <c:v>Sum of Order_Value</c:v>
                </c:pt>
              </c:strCache>
            </c:strRef>
          </c:tx>
          <c:spPr>
            <a:solidFill>
              <a:schemeClr val="accent1"/>
            </a:solidFill>
            <a:ln>
              <a:noFill/>
            </a:ln>
            <a:effectLst/>
          </c:spPr>
          <c:cat>
            <c:strRef>
              <c:f>'Combo Chart'!$J$4:$J$7</c:f>
              <c:strCache>
                <c:ptCount val="3"/>
                <c:pt idx="0">
                  <c:v>Jan</c:v>
                </c:pt>
                <c:pt idx="1">
                  <c:v>Apr</c:v>
                </c:pt>
                <c:pt idx="2">
                  <c:v>May</c:v>
                </c:pt>
              </c:strCache>
            </c:strRef>
          </c:cat>
          <c:val>
            <c:numRef>
              <c:f>'Combo Chart'!$K$4:$K$7</c:f>
              <c:numCache>
                <c:formatCode>##\,##\,##0\ "₹"</c:formatCode>
                <c:ptCount val="3"/>
                <c:pt idx="0">
                  <c:v>324000</c:v>
                </c:pt>
                <c:pt idx="1">
                  <c:v>374000</c:v>
                </c:pt>
                <c:pt idx="2">
                  <c:v>280000</c:v>
                </c:pt>
              </c:numCache>
            </c:numRef>
          </c:val>
          <c:extLst>
            <c:ext xmlns:c16="http://schemas.microsoft.com/office/drawing/2014/chart" uri="{C3380CC4-5D6E-409C-BE32-E72D297353CC}">
              <c16:uniqueId val="{00000000-C550-468B-8220-DECF94652043}"/>
            </c:ext>
          </c:extLst>
        </c:ser>
        <c:dLbls>
          <c:showLegendKey val="0"/>
          <c:showVal val="0"/>
          <c:showCatName val="0"/>
          <c:showSerName val="0"/>
          <c:showPercent val="0"/>
          <c:showBubbleSize val="0"/>
        </c:dLbls>
        <c:axId val="46742703"/>
        <c:axId val="46727823"/>
      </c:areaChart>
      <c:barChart>
        <c:barDir val="col"/>
        <c:grouping val="clustered"/>
        <c:varyColors val="0"/>
        <c:ser>
          <c:idx val="1"/>
          <c:order val="1"/>
          <c:tx>
            <c:strRef>
              <c:f>'Combo Chart'!$L$3</c:f>
              <c:strCache>
                <c:ptCount val="1"/>
                <c:pt idx="0">
                  <c:v>Sum of Profit</c:v>
                </c:pt>
              </c:strCache>
            </c:strRef>
          </c:tx>
          <c:spPr>
            <a:solidFill>
              <a:schemeClr val="accent2"/>
            </a:solidFill>
            <a:ln>
              <a:noFill/>
            </a:ln>
            <a:effectLst/>
          </c:spPr>
          <c:invertIfNegative val="0"/>
          <c:cat>
            <c:strRef>
              <c:f>'Combo Chart'!$J$4:$J$7</c:f>
              <c:strCache>
                <c:ptCount val="3"/>
                <c:pt idx="0">
                  <c:v>Jan</c:v>
                </c:pt>
                <c:pt idx="1">
                  <c:v>Apr</c:v>
                </c:pt>
                <c:pt idx="2">
                  <c:v>May</c:v>
                </c:pt>
              </c:strCache>
            </c:strRef>
          </c:cat>
          <c:val>
            <c:numRef>
              <c:f>'Combo Chart'!$L$4:$L$7</c:f>
              <c:numCache>
                <c:formatCode>General</c:formatCode>
                <c:ptCount val="3"/>
                <c:pt idx="0">
                  <c:v>42000</c:v>
                </c:pt>
                <c:pt idx="1">
                  <c:v>49500</c:v>
                </c:pt>
                <c:pt idx="2">
                  <c:v>40000</c:v>
                </c:pt>
              </c:numCache>
            </c:numRef>
          </c:val>
          <c:extLst>
            <c:ext xmlns:c16="http://schemas.microsoft.com/office/drawing/2014/chart" uri="{C3380CC4-5D6E-409C-BE32-E72D297353CC}">
              <c16:uniqueId val="{00000001-C550-468B-8220-DECF94652043}"/>
            </c:ext>
          </c:extLst>
        </c:ser>
        <c:dLbls>
          <c:showLegendKey val="0"/>
          <c:showVal val="0"/>
          <c:showCatName val="0"/>
          <c:showSerName val="0"/>
          <c:showPercent val="0"/>
          <c:showBubbleSize val="0"/>
        </c:dLbls>
        <c:gapWidth val="219"/>
        <c:overlap val="-27"/>
        <c:axId val="46737903"/>
        <c:axId val="46729743"/>
      </c:barChart>
      <c:catAx>
        <c:axId val="46742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27823"/>
        <c:crosses val="autoZero"/>
        <c:auto val="1"/>
        <c:lblAlgn val="ctr"/>
        <c:lblOffset val="100"/>
        <c:noMultiLvlLbl val="0"/>
      </c:catAx>
      <c:valAx>
        <c:axId val="46727823"/>
        <c:scaling>
          <c:orientation val="minMax"/>
        </c:scaling>
        <c:delete val="0"/>
        <c:axPos val="l"/>
        <c:majorGridlines>
          <c:spPr>
            <a:ln w="9525" cap="flat" cmpd="sng" algn="ctr">
              <a:solidFill>
                <a:schemeClr val="tx1">
                  <a:lumMod val="15000"/>
                  <a:lumOff val="85000"/>
                </a:schemeClr>
              </a:solidFill>
              <a:round/>
            </a:ln>
            <a:effectLst/>
          </c:spPr>
        </c:majorGridlines>
        <c:numFmt formatCode="##\,##\,##0\ &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42703"/>
        <c:crosses val="autoZero"/>
        <c:crossBetween val="between"/>
      </c:valAx>
      <c:valAx>
        <c:axId val="4672974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37903"/>
        <c:crosses val="max"/>
        <c:crossBetween val="between"/>
      </c:valAx>
      <c:catAx>
        <c:axId val="46737903"/>
        <c:scaling>
          <c:orientation val="minMax"/>
        </c:scaling>
        <c:delete val="1"/>
        <c:axPos val="b"/>
        <c:numFmt formatCode="General" sourceLinked="1"/>
        <c:majorTickMark val="out"/>
        <c:minorTickMark val="none"/>
        <c:tickLblPos val="nextTo"/>
        <c:crossAx val="4672974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Flipkart Project.xlsx]Pie Chart!PivotTable12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F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'Pie Chart'!$J$6</c:f>
              <c:strCache>
                <c:ptCount val="1"/>
                <c:pt idx="0">
                  <c:v>Total</c:v>
                </c:pt>
              </c:strCache>
            </c:strRef>
          </c:tx>
          <c:explosion val="1"/>
          <c:dPt>
            <c:idx val="0"/>
            <c:bubble3D val="0"/>
            <c:spPr>
              <a:solidFill>
                <a:srgbClr val="00B0F0"/>
              </a:solidFill>
              <a:ln w="19050">
                <a:solidFill>
                  <a:schemeClr val="lt1"/>
                </a:solidFill>
              </a:ln>
              <a:effectLst/>
            </c:spPr>
            <c:extLst>
              <c:ext xmlns:c16="http://schemas.microsoft.com/office/drawing/2014/chart" uri="{C3380CC4-5D6E-409C-BE32-E72D297353CC}">
                <c16:uniqueId val="{00000002-D33D-4CDB-96C6-A6D08E46B191}"/>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4-D33D-4CDB-96C6-A6D08E46B19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D33D-4CDB-96C6-A6D08E46B191}"/>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33D-4CDB-96C6-A6D08E46B191}"/>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33D-4CDB-96C6-A6D08E46B19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'Pie Chart'!$I$7:$I$9</c:f>
              <c:strCache>
                <c:ptCount val="2"/>
                <c:pt idx="0">
                  <c:v>Electronics</c:v>
                </c:pt>
                <c:pt idx="1">
                  <c:v>Home Appliance</c:v>
                </c:pt>
              </c:strCache>
            </c:strRef>
          </c:cat>
          <c:val>
            <c:numRef>
              <c:f>'Pie Chart'!$J$7:$J$9</c:f>
              <c:numCache>
                <c:formatCode>0.00%</c:formatCode>
                <c:ptCount val="2"/>
                <c:pt idx="0">
                  <c:v>0.71370143149284249</c:v>
                </c:pt>
                <c:pt idx="1">
                  <c:v>0.28629856850715746</c:v>
                </c:pt>
              </c:numCache>
            </c:numRef>
          </c:val>
          <c:extLst>
            <c:ext xmlns:c16="http://schemas.microsoft.com/office/drawing/2014/chart" uri="{C3380CC4-5D6E-409C-BE32-E72D297353CC}">
              <c16:uniqueId val="{00000000-D33D-4CDB-96C6-A6D08E46B191}"/>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Flipkart Project.xlsx]Top 5!PivotTable14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5'!$J$5</c:f>
              <c:strCache>
                <c:ptCount val="1"/>
                <c:pt idx="0">
                  <c:v>Total</c:v>
                </c:pt>
              </c:strCache>
            </c:strRef>
          </c:tx>
          <c:spPr>
            <a:solidFill>
              <a:schemeClr val="accent1"/>
            </a:solidFill>
            <a:ln>
              <a:noFill/>
            </a:ln>
            <a:effectLst/>
          </c:spPr>
          <c:invertIfNegative val="0"/>
          <c:cat>
            <c:strRef>
              <c:f>'Top 5'!$I$6:$I$9</c:f>
              <c:strCache>
                <c:ptCount val="3"/>
                <c:pt idx="0">
                  <c:v>AC</c:v>
                </c:pt>
                <c:pt idx="1">
                  <c:v>Mobile</c:v>
                </c:pt>
                <c:pt idx="2">
                  <c:v>TV</c:v>
                </c:pt>
              </c:strCache>
            </c:strRef>
          </c:cat>
          <c:val>
            <c:numRef>
              <c:f>'Top 5'!$J$6:$J$9</c:f>
              <c:numCache>
                <c:formatCode>##\,##\,##0\ "₹"</c:formatCode>
                <c:ptCount val="3"/>
                <c:pt idx="0">
                  <c:v>280000</c:v>
                </c:pt>
                <c:pt idx="1">
                  <c:v>324000</c:v>
                </c:pt>
                <c:pt idx="2">
                  <c:v>374000</c:v>
                </c:pt>
              </c:numCache>
            </c:numRef>
          </c:val>
          <c:extLst>
            <c:ext xmlns:c16="http://schemas.microsoft.com/office/drawing/2014/chart" uri="{C3380CC4-5D6E-409C-BE32-E72D297353CC}">
              <c16:uniqueId val="{00000000-9CB2-4D53-871D-7348D41C6563}"/>
            </c:ext>
          </c:extLst>
        </c:ser>
        <c:dLbls>
          <c:showLegendKey val="0"/>
          <c:showVal val="0"/>
          <c:showCatName val="0"/>
          <c:showSerName val="0"/>
          <c:showPercent val="0"/>
          <c:showBubbleSize val="0"/>
        </c:dLbls>
        <c:gapWidth val="182"/>
        <c:axId val="1102488144"/>
        <c:axId val="1102504944"/>
      </c:barChart>
      <c:catAx>
        <c:axId val="11024881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504944"/>
        <c:crosses val="autoZero"/>
        <c:auto val="1"/>
        <c:lblAlgn val="ctr"/>
        <c:lblOffset val="100"/>
        <c:noMultiLvlLbl val="0"/>
      </c:catAx>
      <c:valAx>
        <c:axId val="1102504944"/>
        <c:scaling>
          <c:orientation val="minMax"/>
        </c:scaling>
        <c:delete val="0"/>
        <c:axPos val="b"/>
        <c:majorGridlines>
          <c:spPr>
            <a:ln w="9525" cap="flat" cmpd="sng" algn="ctr">
              <a:solidFill>
                <a:schemeClr val="tx1">
                  <a:lumMod val="15000"/>
                  <a:lumOff val="85000"/>
                </a:schemeClr>
              </a:solidFill>
              <a:round/>
            </a:ln>
            <a:effectLst/>
          </c:spPr>
        </c:majorGridlines>
        <c:numFmt formatCode="##\,##\,##0\ &quot;₹&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488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Flipkart Project.xlsx]KPI!PivotTable17</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936727695015515E-3"/>
          <c:y val="0.14882500851443109"/>
          <c:w val="0.99830635753864105"/>
          <c:h val="0.7407407407407407"/>
        </c:manualLayout>
      </c:layout>
      <c:lineChart>
        <c:grouping val="standard"/>
        <c:varyColors val="0"/>
        <c:ser>
          <c:idx val="0"/>
          <c:order val="0"/>
          <c:tx>
            <c:strRef>
              <c:f>KPI!$D$7</c:f>
              <c:strCache>
                <c:ptCount val="1"/>
                <c:pt idx="0">
                  <c:v>Total</c:v>
                </c:pt>
              </c:strCache>
            </c:strRef>
          </c:tx>
          <c:spPr>
            <a:ln w="28575" cap="rnd">
              <a:solidFill>
                <a:schemeClr val="accent1"/>
              </a:solidFill>
              <a:round/>
            </a:ln>
            <a:effectLst/>
          </c:spPr>
          <c:marker>
            <c:symbol val="none"/>
          </c:marker>
          <c:cat>
            <c:strRef>
              <c:f>KPI!$C$8:$C$11</c:f>
              <c:strCache>
                <c:ptCount val="3"/>
                <c:pt idx="0">
                  <c:v>Jan</c:v>
                </c:pt>
                <c:pt idx="1">
                  <c:v>Apr</c:v>
                </c:pt>
                <c:pt idx="2">
                  <c:v>May</c:v>
                </c:pt>
              </c:strCache>
            </c:strRef>
          </c:cat>
          <c:val>
            <c:numRef>
              <c:f>KPI!$D$8:$D$11</c:f>
              <c:numCache>
                <c:formatCode>##\,##\,##0\ "₹"</c:formatCode>
                <c:ptCount val="3"/>
                <c:pt idx="0">
                  <c:v>324000</c:v>
                </c:pt>
                <c:pt idx="1">
                  <c:v>374000</c:v>
                </c:pt>
                <c:pt idx="2">
                  <c:v>280000</c:v>
                </c:pt>
              </c:numCache>
            </c:numRef>
          </c:val>
          <c:smooth val="0"/>
          <c:extLst>
            <c:ext xmlns:c16="http://schemas.microsoft.com/office/drawing/2014/chart" uri="{C3380CC4-5D6E-409C-BE32-E72D297353CC}">
              <c16:uniqueId val="{00000000-CCDF-44BC-8F80-C11889E1B06A}"/>
            </c:ext>
          </c:extLst>
        </c:ser>
        <c:dLbls>
          <c:showLegendKey val="0"/>
          <c:showVal val="0"/>
          <c:showCatName val="0"/>
          <c:showSerName val="0"/>
          <c:showPercent val="0"/>
          <c:showBubbleSize val="0"/>
        </c:dLbls>
        <c:smooth val="0"/>
        <c:axId val="1208680640"/>
        <c:axId val="1208676320"/>
      </c:lineChart>
      <c:catAx>
        <c:axId val="1208680640"/>
        <c:scaling>
          <c:orientation val="minMax"/>
        </c:scaling>
        <c:delete val="1"/>
        <c:axPos val="b"/>
        <c:numFmt formatCode="General" sourceLinked="1"/>
        <c:majorTickMark val="none"/>
        <c:minorTickMark val="none"/>
        <c:tickLblPos val="nextTo"/>
        <c:crossAx val="1208676320"/>
        <c:crosses val="autoZero"/>
        <c:auto val="1"/>
        <c:lblAlgn val="ctr"/>
        <c:lblOffset val="100"/>
        <c:noMultiLvlLbl val="0"/>
      </c:catAx>
      <c:valAx>
        <c:axId val="1208676320"/>
        <c:scaling>
          <c:orientation val="minMax"/>
        </c:scaling>
        <c:delete val="1"/>
        <c:axPos val="l"/>
        <c:numFmt formatCode="##\,##\,##0\ &quot;₹&quot;" sourceLinked="1"/>
        <c:majorTickMark val="none"/>
        <c:minorTickMark val="none"/>
        <c:tickLblPos val="nextTo"/>
        <c:crossAx val="1208680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Flipkart Project.xlsx]KPI!PivotTable18</c:name>
    <c:fmtId val="3"/>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946560613933408E-2"/>
          <c:y val="0.16129049527875741"/>
          <c:w val="0.89278752436647169"/>
          <c:h val="0.74448315911730545"/>
        </c:manualLayout>
      </c:layout>
      <c:lineChart>
        <c:grouping val="standard"/>
        <c:varyColors val="0"/>
        <c:ser>
          <c:idx val="0"/>
          <c:order val="0"/>
          <c:tx>
            <c:strRef>
              <c:f>KPI!$G$7</c:f>
              <c:strCache>
                <c:ptCount val="1"/>
                <c:pt idx="0">
                  <c:v>Total</c:v>
                </c:pt>
              </c:strCache>
            </c:strRef>
          </c:tx>
          <c:spPr>
            <a:ln w="28575" cap="rnd">
              <a:solidFill>
                <a:schemeClr val="accent1"/>
              </a:solidFill>
              <a:round/>
            </a:ln>
            <a:effectLst/>
          </c:spPr>
          <c:marker>
            <c:symbol val="none"/>
          </c:marker>
          <c:cat>
            <c:strRef>
              <c:f>KPI!$F$8:$F$11</c:f>
              <c:strCache>
                <c:ptCount val="3"/>
                <c:pt idx="0">
                  <c:v>Jan</c:v>
                </c:pt>
                <c:pt idx="1">
                  <c:v>Apr</c:v>
                </c:pt>
                <c:pt idx="2">
                  <c:v>May</c:v>
                </c:pt>
              </c:strCache>
            </c:strRef>
          </c:cat>
          <c:val>
            <c:numRef>
              <c:f>KPI!$G$8:$G$11</c:f>
              <c:numCache>
                <c:formatCode>General</c:formatCode>
                <c:ptCount val="3"/>
                <c:pt idx="0">
                  <c:v>42000</c:v>
                </c:pt>
                <c:pt idx="1">
                  <c:v>49500</c:v>
                </c:pt>
                <c:pt idx="2">
                  <c:v>40000</c:v>
                </c:pt>
              </c:numCache>
            </c:numRef>
          </c:val>
          <c:smooth val="0"/>
          <c:extLst>
            <c:ext xmlns:c16="http://schemas.microsoft.com/office/drawing/2014/chart" uri="{C3380CC4-5D6E-409C-BE32-E72D297353CC}">
              <c16:uniqueId val="{00000000-47A1-4AB1-8E9A-8C06AF26A1F0}"/>
            </c:ext>
          </c:extLst>
        </c:ser>
        <c:dLbls>
          <c:showLegendKey val="0"/>
          <c:showVal val="0"/>
          <c:showCatName val="0"/>
          <c:showSerName val="0"/>
          <c:showPercent val="0"/>
          <c:showBubbleSize val="0"/>
        </c:dLbls>
        <c:smooth val="0"/>
        <c:axId val="1208677760"/>
        <c:axId val="1208667680"/>
      </c:lineChart>
      <c:catAx>
        <c:axId val="1208677760"/>
        <c:scaling>
          <c:orientation val="minMax"/>
        </c:scaling>
        <c:delete val="1"/>
        <c:axPos val="b"/>
        <c:numFmt formatCode="General" sourceLinked="1"/>
        <c:majorTickMark val="none"/>
        <c:minorTickMark val="none"/>
        <c:tickLblPos val="nextTo"/>
        <c:crossAx val="1208667680"/>
        <c:crosses val="autoZero"/>
        <c:auto val="1"/>
        <c:lblAlgn val="ctr"/>
        <c:lblOffset val="100"/>
        <c:noMultiLvlLbl val="0"/>
      </c:catAx>
      <c:valAx>
        <c:axId val="1208667680"/>
        <c:scaling>
          <c:orientation val="minMax"/>
        </c:scaling>
        <c:delete val="1"/>
        <c:axPos val="l"/>
        <c:numFmt formatCode="General" sourceLinked="1"/>
        <c:majorTickMark val="none"/>
        <c:minorTickMark val="none"/>
        <c:tickLblPos val="nextTo"/>
        <c:crossAx val="1208677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Flipkart Project.xlsx]KPI!PivotTable19</c:name>
    <c:fmtId val="5"/>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KPI!$K$7</c:f>
              <c:strCache>
                <c:ptCount val="1"/>
                <c:pt idx="0">
                  <c:v>Total</c:v>
                </c:pt>
              </c:strCache>
            </c:strRef>
          </c:tx>
          <c:spPr>
            <a:ln w="28575" cap="rnd">
              <a:solidFill>
                <a:schemeClr val="accent1"/>
              </a:solidFill>
              <a:round/>
            </a:ln>
            <a:effectLst/>
          </c:spPr>
          <c:marker>
            <c:symbol val="none"/>
          </c:marker>
          <c:cat>
            <c:strRef>
              <c:f>KPI!$J$8:$J$11</c:f>
              <c:strCache>
                <c:ptCount val="3"/>
                <c:pt idx="0">
                  <c:v>Jan</c:v>
                </c:pt>
                <c:pt idx="1">
                  <c:v>Apr</c:v>
                </c:pt>
                <c:pt idx="2">
                  <c:v>May</c:v>
                </c:pt>
              </c:strCache>
            </c:strRef>
          </c:cat>
          <c:val>
            <c:numRef>
              <c:f>KPI!$K$8:$K$11</c:f>
              <c:numCache>
                <c:formatCode>General</c:formatCode>
                <c:ptCount val="3"/>
                <c:pt idx="0">
                  <c:v>24</c:v>
                </c:pt>
                <c:pt idx="1">
                  <c:v>11</c:v>
                </c:pt>
                <c:pt idx="2">
                  <c:v>8</c:v>
                </c:pt>
              </c:numCache>
            </c:numRef>
          </c:val>
          <c:smooth val="0"/>
          <c:extLst>
            <c:ext xmlns:c16="http://schemas.microsoft.com/office/drawing/2014/chart" uri="{C3380CC4-5D6E-409C-BE32-E72D297353CC}">
              <c16:uniqueId val="{00000000-D191-4401-B17E-0BB9CB617E2D}"/>
            </c:ext>
          </c:extLst>
        </c:ser>
        <c:dLbls>
          <c:showLegendKey val="0"/>
          <c:showVal val="0"/>
          <c:showCatName val="0"/>
          <c:showSerName val="0"/>
          <c:showPercent val="0"/>
          <c:showBubbleSize val="0"/>
        </c:dLbls>
        <c:smooth val="0"/>
        <c:axId val="1208694080"/>
        <c:axId val="1208698400"/>
      </c:lineChart>
      <c:catAx>
        <c:axId val="1208694080"/>
        <c:scaling>
          <c:orientation val="minMax"/>
        </c:scaling>
        <c:delete val="1"/>
        <c:axPos val="b"/>
        <c:numFmt formatCode="General" sourceLinked="1"/>
        <c:majorTickMark val="none"/>
        <c:minorTickMark val="none"/>
        <c:tickLblPos val="nextTo"/>
        <c:crossAx val="1208698400"/>
        <c:crosses val="autoZero"/>
        <c:auto val="1"/>
        <c:lblAlgn val="ctr"/>
        <c:lblOffset val="100"/>
        <c:noMultiLvlLbl val="0"/>
      </c:catAx>
      <c:valAx>
        <c:axId val="1208698400"/>
        <c:scaling>
          <c:orientation val="minMax"/>
        </c:scaling>
        <c:delete val="1"/>
        <c:axPos val="l"/>
        <c:numFmt formatCode="General" sourceLinked="1"/>
        <c:majorTickMark val="none"/>
        <c:minorTickMark val="none"/>
        <c:tickLblPos val="nextTo"/>
        <c:crossAx val="1208694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Flipkart Project.xlsx]KPI!PivotTable20</c:name>
    <c:fmtId val="7"/>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067714369149286E-2"/>
          <c:y val="0.1715687120789238"/>
          <c:w val="0.88469601677148846"/>
          <c:h val="0.73039215686274506"/>
        </c:manualLayout>
      </c:layout>
      <c:lineChart>
        <c:grouping val="standard"/>
        <c:varyColors val="0"/>
        <c:ser>
          <c:idx val="0"/>
          <c:order val="0"/>
          <c:tx>
            <c:strRef>
              <c:f>KPI!$N$7</c:f>
              <c:strCache>
                <c:ptCount val="1"/>
                <c:pt idx="0">
                  <c:v>Total</c:v>
                </c:pt>
              </c:strCache>
            </c:strRef>
          </c:tx>
          <c:spPr>
            <a:ln w="28575" cap="rnd">
              <a:solidFill>
                <a:schemeClr val="accent1"/>
              </a:solidFill>
              <a:round/>
            </a:ln>
            <a:effectLst/>
          </c:spPr>
          <c:marker>
            <c:symbol val="none"/>
          </c:marker>
          <c:cat>
            <c:strRef>
              <c:f>KPI!$M$8:$M$11</c:f>
              <c:strCache>
                <c:ptCount val="3"/>
                <c:pt idx="0">
                  <c:v>Jan</c:v>
                </c:pt>
                <c:pt idx="1">
                  <c:v>Apr</c:v>
                </c:pt>
                <c:pt idx="2">
                  <c:v>May</c:v>
                </c:pt>
              </c:strCache>
            </c:strRef>
          </c:cat>
          <c:val>
            <c:numRef>
              <c:f>KPI!$N$8:$N$11</c:f>
              <c:numCache>
                <c:formatCode>General</c:formatCode>
                <c:ptCount val="3"/>
                <c:pt idx="0">
                  <c:v>12</c:v>
                </c:pt>
                <c:pt idx="1">
                  <c:v>11</c:v>
                </c:pt>
                <c:pt idx="2">
                  <c:v>8</c:v>
                </c:pt>
              </c:numCache>
            </c:numRef>
          </c:val>
          <c:smooth val="0"/>
          <c:extLst>
            <c:ext xmlns:c16="http://schemas.microsoft.com/office/drawing/2014/chart" uri="{C3380CC4-5D6E-409C-BE32-E72D297353CC}">
              <c16:uniqueId val="{00000000-A822-4D76-8E27-64ABE47DB1BD}"/>
            </c:ext>
          </c:extLst>
        </c:ser>
        <c:dLbls>
          <c:showLegendKey val="0"/>
          <c:showVal val="0"/>
          <c:showCatName val="0"/>
          <c:showSerName val="0"/>
          <c:showPercent val="0"/>
          <c:showBubbleSize val="0"/>
        </c:dLbls>
        <c:smooth val="0"/>
        <c:axId val="1102491504"/>
        <c:axId val="1102481904"/>
      </c:lineChart>
      <c:catAx>
        <c:axId val="1102491504"/>
        <c:scaling>
          <c:orientation val="minMax"/>
        </c:scaling>
        <c:delete val="1"/>
        <c:axPos val="b"/>
        <c:numFmt formatCode="General" sourceLinked="1"/>
        <c:majorTickMark val="none"/>
        <c:minorTickMark val="none"/>
        <c:tickLblPos val="nextTo"/>
        <c:crossAx val="1102481904"/>
        <c:crosses val="autoZero"/>
        <c:auto val="1"/>
        <c:lblAlgn val="ctr"/>
        <c:lblOffset val="100"/>
        <c:noMultiLvlLbl val="0"/>
      </c:catAx>
      <c:valAx>
        <c:axId val="1102481904"/>
        <c:scaling>
          <c:orientation val="minMax"/>
        </c:scaling>
        <c:delete val="1"/>
        <c:axPos val="l"/>
        <c:numFmt formatCode="General" sourceLinked="1"/>
        <c:majorTickMark val="none"/>
        <c:minorTickMark val="none"/>
        <c:tickLblPos val="nextTo"/>
        <c:crossAx val="1102491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Flipkart Project.xlsx]KPI!PivotTable17</c:name>
    <c:fmtId val="2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246566937476891E-2"/>
          <c:y val="0.24814872767813481"/>
          <c:w val="0.907295609879753"/>
          <c:h val="0.45407402631152172"/>
        </c:manualLayout>
      </c:layout>
      <c:lineChart>
        <c:grouping val="standard"/>
        <c:varyColors val="0"/>
        <c:ser>
          <c:idx val="0"/>
          <c:order val="0"/>
          <c:tx>
            <c:strRef>
              <c:f>KPI!$D$7</c:f>
              <c:strCache>
                <c:ptCount val="1"/>
                <c:pt idx="0">
                  <c:v>Total</c:v>
                </c:pt>
              </c:strCache>
            </c:strRef>
          </c:tx>
          <c:spPr>
            <a:ln w="31750" cap="rnd">
              <a:solidFill>
                <a:schemeClr val="tx1"/>
              </a:solidFill>
              <a:round/>
            </a:ln>
            <a:effectLst/>
          </c:spPr>
          <c:marker>
            <c:symbol val="none"/>
          </c:marker>
          <c:cat>
            <c:strRef>
              <c:f>KPI!$C$8:$C$11</c:f>
              <c:strCache>
                <c:ptCount val="3"/>
                <c:pt idx="0">
                  <c:v>Jan</c:v>
                </c:pt>
                <c:pt idx="1">
                  <c:v>Apr</c:v>
                </c:pt>
                <c:pt idx="2">
                  <c:v>May</c:v>
                </c:pt>
              </c:strCache>
            </c:strRef>
          </c:cat>
          <c:val>
            <c:numRef>
              <c:f>KPI!$D$8:$D$11</c:f>
              <c:numCache>
                <c:formatCode>##\,##\,##0\ "₹"</c:formatCode>
                <c:ptCount val="3"/>
                <c:pt idx="0">
                  <c:v>324000</c:v>
                </c:pt>
                <c:pt idx="1">
                  <c:v>374000</c:v>
                </c:pt>
                <c:pt idx="2">
                  <c:v>280000</c:v>
                </c:pt>
              </c:numCache>
            </c:numRef>
          </c:val>
          <c:smooth val="0"/>
          <c:extLst>
            <c:ext xmlns:c16="http://schemas.microsoft.com/office/drawing/2014/chart" uri="{C3380CC4-5D6E-409C-BE32-E72D297353CC}">
              <c16:uniqueId val="{00000000-B01E-42E4-ABD2-4818A65EBAFE}"/>
            </c:ext>
          </c:extLst>
        </c:ser>
        <c:dLbls>
          <c:showLegendKey val="0"/>
          <c:showVal val="0"/>
          <c:showCatName val="0"/>
          <c:showSerName val="0"/>
          <c:showPercent val="0"/>
          <c:showBubbleSize val="0"/>
        </c:dLbls>
        <c:smooth val="0"/>
        <c:axId val="1303821280"/>
        <c:axId val="1303809760"/>
      </c:lineChart>
      <c:catAx>
        <c:axId val="1303821280"/>
        <c:scaling>
          <c:orientation val="minMax"/>
        </c:scaling>
        <c:delete val="1"/>
        <c:axPos val="b"/>
        <c:numFmt formatCode="General" sourceLinked="1"/>
        <c:majorTickMark val="none"/>
        <c:minorTickMark val="none"/>
        <c:tickLblPos val="nextTo"/>
        <c:crossAx val="1303809760"/>
        <c:crosses val="autoZero"/>
        <c:auto val="1"/>
        <c:lblAlgn val="ctr"/>
        <c:lblOffset val="100"/>
        <c:noMultiLvlLbl val="0"/>
      </c:catAx>
      <c:valAx>
        <c:axId val="1303809760"/>
        <c:scaling>
          <c:orientation val="minMax"/>
        </c:scaling>
        <c:delete val="1"/>
        <c:axPos val="l"/>
        <c:numFmt formatCode="##\,##\,##0\ &quot;₹&quot;" sourceLinked="1"/>
        <c:majorTickMark val="none"/>
        <c:minorTickMark val="none"/>
        <c:tickLblPos val="nextTo"/>
        <c:crossAx val="1303821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4">
            <a:lumMod val="40000"/>
            <a:lumOff val="60000"/>
          </a:schemeClr>
        </a:gs>
        <a:gs pos="100000">
          <a:schemeClr val="accent4"/>
        </a:gs>
      </a:gsLst>
      <a:lin ang="4200000" scaled="0"/>
    </a:gradFill>
    <a:ln w="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Flipkart Project.xlsx]KPI!PivotTable18</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317614305433165E-2"/>
          <c:y val="0.15004980936272685"/>
          <c:w val="0.89278752436647169"/>
          <c:h val="0.74448315911730545"/>
        </c:manualLayout>
      </c:layout>
      <c:lineChart>
        <c:grouping val="standard"/>
        <c:varyColors val="0"/>
        <c:ser>
          <c:idx val="0"/>
          <c:order val="0"/>
          <c:tx>
            <c:strRef>
              <c:f>KPI!$G$7</c:f>
              <c:strCache>
                <c:ptCount val="1"/>
                <c:pt idx="0">
                  <c:v>Total</c:v>
                </c:pt>
              </c:strCache>
            </c:strRef>
          </c:tx>
          <c:spPr>
            <a:ln w="31750" cap="rnd">
              <a:solidFill>
                <a:schemeClr val="tx1"/>
              </a:solidFill>
              <a:round/>
            </a:ln>
            <a:effectLst/>
          </c:spPr>
          <c:marker>
            <c:symbol val="none"/>
          </c:marker>
          <c:cat>
            <c:strRef>
              <c:f>KPI!$F$8:$F$11</c:f>
              <c:strCache>
                <c:ptCount val="3"/>
                <c:pt idx="0">
                  <c:v>Jan</c:v>
                </c:pt>
                <c:pt idx="1">
                  <c:v>Apr</c:v>
                </c:pt>
                <c:pt idx="2">
                  <c:v>May</c:v>
                </c:pt>
              </c:strCache>
            </c:strRef>
          </c:cat>
          <c:val>
            <c:numRef>
              <c:f>KPI!$G$8:$G$11</c:f>
              <c:numCache>
                <c:formatCode>General</c:formatCode>
                <c:ptCount val="3"/>
                <c:pt idx="0">
                  <c:v>42000</c:v>
                </c:pt>
                <c:pt idx="1">
                  <c:v>49500</c:v>
                </c:pt>
                <c:pt idx="2">
                  <c:v>40000</c:v>
                </c:pt>
              </c:numCache>
            </c:numRef>
          </c:val>
          <c:smooth val="0"/>
          <c:extLst>
            <c:ext xmlns:c16="http://schemas.microsoft.com/office/drawing/2014/chart" uri="{C3380CC4-5D6E-409C-BE32-E72D297353CC}">
              <c16:uniqueId val="{00000000-98E1-4794-8DB4-5F5B4B184362}"/>
            </c:ext>
          </c:extLst>
        </c:ser>
        <c:dLbls>
          <c:showLegendKey val="0"/>
          <c:showVal val="0"/>
          <c:showCatName val="0"/>
          <c:showSerName val="0"/>
          <c:showPercent val="0"/>
          <c:showBubbleSize val="0"/>
        </c:dLbls>
        <c:smooth val="0"/>
        <c:axId val="1208677760"/>
        <c:axId val="1208667680"/>
      </c:lineChart>
      <c:catAx>
        <c:axId val="1208677760"/>
        <c:scaling>
          <c:orientation val="minMax"/>
        </c:scaling>
        <c:delete val="1"/>
        <c:axPos val="b"/>
        <c:numFmt formatCode="General" sourceLinked="1"/>
        <c:majorTickMark val="none"/>
        <c:minorTickMark val="none"/>
        <c:tickLblPos val="nextTo"/>
        <c:crossAx val="1208667680"/>
        <c:crosses val="autoZero"/>
        <c:auto val="1"/>
        <c:lblAlgn val="ctr"/>
        <c:lblOffset val="100"/>
        <c:noMultiLvlLbl val="0"/>
      </c:catAx>
      <c:valAx>
        <c:axId val="1208667680"/>
        <c:scaling>
          <c:orientation val="minMax"/>
        </c:scaling>
        <c:delete val="1"/>
        <c:axPos val="l"/>
        <c:numFmt formatCode="General" sourceLinked="1"/>
        <c:majorTickMark val="none"/>
        <c:minorTickMark val="none"/>
        <c:tickLblPos val="nextTo"/>
        <c:crossAx val="1208677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4">
            <a:lumMod val="40000"/>
            <a:lumOff val="60000"/>
          </a:schemeClr>
        </a:gs>
        <a:gs pos="100000">
          <a:schemeClr val="accent4"/>
        </a:gs>
      </a:gsLst>
      <a:lin ang="4200000" scaled="0"/>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Flipkart Project.xlsx]KPI!PivotTable19</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791059751925151E-2"/>
          <c:y val="0.17139463953143136"/>
          <c:w val="0.86838305712147057"/>
          <c:h val="0.68577649419237585"/>
        </c:manualLayout>
      </c:layout>
      <c:lineChart>
        <c:grouping val="standard"/>
        <c:varyColors val="0"/>
        <c:ser>
          <c:idx val="0"/>
          <c:order val="0"/>
          <c:tx>
            <c:strRef>
              <c:f>KPI!$K$7</c:f>
              <c:strCache>
                <c:ptCount val="1"/>
                <c:pt idx="0">
                  <c:v>Total</c:v>
                </c:pt>
              </c:strCache>
            </c:strRef>
          </c:tx>
          <c:spPr>
            <a:ln w="31750" cap="rnd">
              <a:solidFill>
                <a:schemeClr val="tx1"/>
              </a:solidFill>
              <a:round/>
            </a:ln>
            <a:effectLst/>
          </c:spPr>
          <c:marker>
            <c:symbol val="none"/>
          </c:marker>
          <c:cat>
            <c:strRef>
              <c:f>KPI!$J$8:$J$11</c:f>
              <c:strCache>
                <c:ptCount val="3"/>
                <c:pt idx="0">
                  <c:v>Jan</c:v>
                </c:pt>
                <c:pt idx="1">
                  <c:v>Apr</c:v>
                </c:pt>
                <c:pt idx="2">
                  <c:v>May</c:v>
                </c:pt>
              </c:strCache>
            </c:strRef>
          </c:cat>
          <c:val>
            <c:numRef>
              <c:f>KPI!$K$8:$K$11</c:f>
              <c:numCache>
                <c:formatCode>General</c:formatCode>
                <c:ptCount val="3"/>
                <c:pt idx="0">
                  <c:v>24</c:v>
                </c:pt>
                <c:pt idx="1">
                  <c:v>11</c:v>
                </c:pt>
                <c:pt idx="2">
                  <c:v>8</c:v>
                </c:pt>
              </c:numCache>
            </c:numRef>
          </c:val>
          <c:smooth val="0"/>
          <c:extLst>
            <c:ext xmlns:c16="http://schemas.microsoft.com/office/drawing/2014/chart" uri="{C3380CC4-5D6E-409C-BE32-E72D297353CC}">
              <c16:uniqueId val="{00000000-8131-4ED5-9978-3FF2E68EF57E}"/>
            </c:ext>
          </c:extLst>
        </c:ser>
        <c:dLbls>
          <c:showLegendKey val="0"/>
          <c:showVal val="0"/>
          <c:showCatName val="0"/>
          <c:showSerName val="0"/>
          <c:showPercent val="0"/>
          <c:showBubbleSize val="0"/>
        </c:dLbls>
        <c:smooth val="0"/>
        <c:axId val="1208694080"/>
        <c:axId val="1208698400"/>
      </c:lineChart>
      <c:catAx>
        <c:axId val="1208694080"/>
        <c:scaling>
          <c:orientation val="minMax"/>
        </c:scaling>
        <c:delete val="1"/>
        <c:axPos val="b"/>
        <c:numFmt formatCode="General" sourceLinked="1"/>
        <c:majorTickMark val="none"/>
        <c:minorTickMark val="none"/>
        <c:tickLblPos val="nextTo"/>
        <c:crossAx val="1208698400"/>
        <c:crosses val="autoZero"/>
        <c:auto val="1"/>
        <c:lblAlgn val="ctr"/>
        <c:lblOffset val="100"/>
        <c:noMultiLvlLbl val="0"/>
      </c:catAx>
      <c:valAx>
        <c:axId val="1208698400"/>
        <c:scaling>
          <c:orientation val="minMax"/>
        </c:scaling>
        <c:delete val="1"/>
        <c:axPos val="l"/>
        <c:numFmt formatCode="General" sourceLinked="1"/>
        <c:majorTickMark val="none"/>
        <c:minorTickMark val="none"/>
        <c:tickLblPos val="nextTo"/>
        <c:crossAx val="1208694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4">
            <a:lumMod val="40000"/>
            <a:lumOff val="60000"/>
          </a:schemeClr>
        </a:gs>
        <a:gs pos="100000">
          <a:schemeClr val="accent4"/>
        </a:gs>
      </a:gsLst>
      <a:lin ang="4200000" scaled="0"/>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Flipkart Project.xlsx]KPI!PivotTable20</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892955837291209E-2"/>
          <c:y val="0.13453267736196214"/>
          <c:w val="0.88469601677148846"/>
          <c:h val="0.73039215686274506"/>
        </c:manualLayout>
      </c:layout>
      <c:lineChart>
        <c:grouping val="standard"/>
        <c:varyColors val="0"/>
        <c:ser>
          <c:idx val="0"/>
          <c:order val="0"/>
          <c:tx>
            <c:strRef>
              <c:f>KPI!$N$7</c:f>
              <c:strCache>
                <c:ptCount val="1"/>
                <c:pt idx="0">
                  <c:v>Total</c:v>
                </c:pt>
              </c:strCache>
            </c:strRef>
          </c:tx>
          <c:spPr>
            <a:ln w="31750" cap="rnd">
              <a:solidFill>
                <a:schemeClr val="tx1"/>
              </a:solidFill>
              <a:round/>
            </a:ln>
            <a:effectLst/>
          </c:spPr>
          <c:marker>
            <c:symbol val="none"/>
          </c:marker>
          <c:cat>
            <c:strRef>
              <c:f>KPI!$M$8:$M$11</c:f>
              <c:strCache>
                <c:ptCount val="3"/>
                <c:pt idx="0">
                  <c:v>Jan</c:v>
                </c:pt>
                <c:pt idx="1">
                  <c:v>Apr</c:v>
                </c:pt>
                <c:pt idx="2">
                  <c:v>May</c:v>
                </c:pt>
              </c:strCache>
            </c:strRef>
          </c:cat>
          <c:val>
            <c:numRef>
              <c:f>KPI!$N$8:$N$11</c:f>
              <c:numCache>
                <c:formatCode>General</c:formatCode>
                <c:ptCount val="3"/>
                <c:pt idx="0">
                  <c:v>12</c:v>
                </c:pt>
                <c:pt idx="1">
                  <c:v>11</c:v>
                </c:pt>
                <c:pt idx="2">
                  <c:v>8</c:v>
                </c:pt>
              </c:numCache>
            </c:numRef>
          </c:val>
          <c:smooth val="0"/>
          <c:extLst>
            <c:ext xmlns:c16="http://schemas.microsoft.com/office/drawing/2014/chart" uri="{C3380CC4-5D6E-409C-BE32-E72D297353CC}">
              <c16:uniqueId val="{00000000-66DE-4758-9491-5ED3C68D1AC2}"/>
            </c:ext>
          </c:extLst>
        </c:ser>
        <c:dLbls>
          <c:showLegendKey val="0"/>
          <c:showVal val="0"/>
          <c:showCatName val="0"/>
          <c:showSerName val="0"/>
          <c:showPercent val="0"/>
          <c:showBubbleSize val="0"/>
        </c:dLbls>
        <c:smooth val="0"/>
        <c:axId val="1102491504"/>
        <c:axId val="1102481904"/>
      </c:lineChart>
      <c:catAx>
        <c:axId val="1102491504"/>
        <c:scaling>
          <c:orientation val="minMax"/>
        </c:scaling>
        <c:delete val="1"/>
        <c:axPos val="b"/>
        <c:numFmt formatCode="General" sourceLinked="1"/>
        <c:majorTickMark val="none"/>
        <c:minorTickMark val="none"/>
        <c:tickLblPos val="nextTo"/>
        <c:crossAx val="1102481904"/>
        <c:crosses val="autoZero"/>
        <c:auto val="1"/>
        <c:lblAlgn val="ctr"/>
        <c:lblOffset val="100"/>
        <c:noMultiLvlLbl val="0"/>
      </c:catAx>
      <c:valAx>
        <c:axId val="1102481904"/>
        <c:scaling>
          <c:orientation val="minMax"/>
        </c:scaling>
        <c:delete val="1"/>
        <c:axPos val="l"/>
        <c:numFmt formatCode="General" sourceLinked="1"/>
        <c:majorTickMark val="none"/>
        <c:minorTickMark val="none"/>
        <c:tickLblPos val="nextTo"/>
        <c:crossAx val="1102491504"/>
        <c:crosses val="autoZero"/>
        <c:crossBetween val="between"/>
      </c:valAx>
      <c:spPr>
        <a:gradFill>
          <a:gsLst>
            <a:gs pos="0">
              <a:schemeClr val="accent4">
                <a:lumMod val="40000"/>
                <a:lumOff val="60000"/>
              </a:schemeClr>
            </a:gs>
            <a:gs pos="100000">
              <a:schemeClr val="accent4"/>
            </a:gs>
          </a:gsLst>
          <a:lin ang="42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4">
            <a:lumMod val="40000"/>
            <a:lumOff val="60000"/>
          </a:schemeClr>
        </a:gs>
        <a:gs pos="100000">
          <a:schemeClr val="accent4"/>
        </a:gs>
      </a:gsLst>
      <a:lin ang="4200000" scaled="0"/>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Flipkart Project.xlsx]Combo Chart!PivotTable10</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6691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bg1">
                  <a:lumMod val="75000"/>
                </a:schemeClr>
              </a:gs>
              <a:gs pos="100000">
                <a:schemeClr val="tx1"/>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16485451411766"/>
          <c:y val="0.15132815860869861"/>
          <c:w val="0.84300287307945865"/>
          <c:h val="0.74503969684701055"/>
        </c:manualLayout>
      </c:layout>
      <c:areaChart>
        <c:grouping val="standard"/>
        <c:varyColors val="0"/>
        <c:ser>
          <c:idx val="1"/>
          <c:order val="1"/>
          <c:tx>
            <c:strRef>
              <c:f>'Combo Chart'!$L$3</c:f>
              <c:strCache>
                <c:ptCount val="1"/>
                <c:pt idx="0">
                  <c:v>Sum of Profit</c:v>
                </c:pt>
              </c:strCache>
            </c:strRef>
          </c:tx>
          <c:spPr>
            <a:solidFill>
              <a:srgbClr val="E66914"/>
            </a:solidFill>
            <a:ln>
              <a:noFill/>
            </a:ln>
            <a:effectLst/>
          </c:spPr>
          <c:cat>
            <c:strRef>
              <c:f>'Combo Chart'!$J$4:$J$7</c:f>
              <c:strCache>
                <c:ptCount val="3"/>
                <c:pt idx="0">
                  <c:v>Jan</c:v>
                </c:pt>
                <c:pt idx="1">
                  <c:v>Apr</c:v>
                </c:pt>
                <c:pt idx="2">
                  <c:v>May</c:v>
                </c:pt>
              </c:strCache>
            </c:strRef>
          </c:cat>
          <c:val>
            <c:numRef>
              <c:f>'Combo Chart'!$L$4:$L$7</c:f>
              <c:numCache>
                <c:formatCode>General</c:formatCode>
                <c:ptCount val="3"/>
                <c:pt idx="0">
                  <c:v>42000</c:v>
                </c:pt>
                <c:pt idx="1">
                  <c:v>49500</c:v>
                </c:pt>
                <c:pt idx="2">
                  <c:v>40000</c:v>
                </c:pt>
              </c:numCache>
            </c:numRef>
          </c:val>
          <c:extLst>
            <c:ext xmlns:c16="http://schemas.microsoft.com/office/drawing/2014/chart" uri="{C3380CC4-5D6E-409C-BE32-E72D297353CC}">
              <c16:uniqueId val="{00000000-C7EA-494E-8991-76710B35363F}"/>
            </c:ext>
          </c:extLst>
        </c:ser>
        <c:dLbls>
          <c:showLegendKey val="0"/>
          <c:showVal val="0"/>
          <c:showCatName val="0"/>
          <c:showSerName val="0"/>
          <c:showPercent val="0"/>
          <c:showBubbleSize val="0"/>
        </c:dLbls>
        <c:axId val="1716675983"/>
        <c:axId val="1716686543"/>
      </c:areaChart>
      <c:barChart>
        <c:barDir val="col"/>
        <c:grouping val="clustered"/>
        <c:varyColors val="0"/>
        <c:ser>
          <c:idx val="0"/>
          <c:order val="0"/>
          <c:tx>
            <c:strRef>
              <c:f>'Combo Chart'!$K$3</c:f>
              <c:strCache>
                <c:ptCount val="1"/>
                <c:pt idx="0">
                  <c:v>Sum of Order_Value</c:v>
                </c:pt>
              </c:strCache>
            </c:strRef>
          </c:tx>
          <c:spPr>
            <a:gradFill>
              <a:gsLst>
                <a:gs pos="0">
                  <a:schemeClr val="bg1">
                    <a:lumMod val="75000"/>
                  </a:schemeClr>
                </a:gs>
                <a:gs pos="100000">
                  <a:schemeClr val="tx1"/>
                </a:gs>
              </a:gsLst>
              <a:lin ang="5400000" scaled="1"/>
            </a:gradFill>
            <a:ln>
              <a:noFill/>
            </a:ln>
            <a:effectLst/>
          </c:spPr>
          <c:invertIfNegative val="0"/>
          <c:cat>
            <c:strRef>
              <c:f>'Combo Chart'!$J$4:$J$7</c:f>
              <c:strCache>
                <c:ptCount val="3"/>
                <c:pt idx="0">
                  <c:v>Jan</c:v>
                </c:pt>
                <c:pt idx="1">
                  <c:v>Apr</c:v>
                </c:pt>
                <c:pt idx="2">
                  <c:v>May</c:v>
                </c:pt>
              </c:strCache>
            </c:strRef>
          </c:cat>
          <c:val>
            <c:numRef>
              <c:f>'Combo Chart'!$K$4:$K$7</c:f>
              <c:numCache>
                <c:formatCode>##\,##\,##0\ "₹"</c:formatCode>
                <c:ptCount val="3"/>
                <c:pt idx="0">
                  <c:v>324000</c:v>
                </c:pt>
                <c:pt idx="1">
                  <c:v>374000</c:v>
                </c:pt>
                <c:pt idx="2">
                  <c:v>280000</c:v>
                </c:pt>
              </c:numCache>
            </c:numRef>
          </c:val>
          <c:extLst>
            <c:ext xmlns:c16="http://schemas.microsoft.com/office/drawing/2014/chart" uri="{C3380CC4-5D6E-409C-BE32-E72D297353CC}">
              <c16:uniqueId val="{00000001-C7EA-494E-8991-76710B35363F}"/>
            </c:ext>
          </c:extLst>
        </c:ser>
        <c:dLbls>
          <c:showLegendKey val="0"/>
          <c:showVal val="0"/>
          <c:showCatName val="0"/>
          <c:showSerName val="0"/>
          <c:showPercent val="0"/>
          <c:showBubbleSize val="0"/>
        </c:dLbls>
        <c:gapWidth val="155"/>
        <c:overlap val="24"/>
        <c:axId val="1102484304"/>
        <c:axId val="1102489584"/>
      </c:barChart>
      <c:catAx>
        <c:axId val="1102484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02489584"/>
        <c:crosses val="autoZero"/>
        <c:auto val="1"/>
        <c:lblAlgn val="ctr"/>
        <c:lblOffset val="100"/>
        <c:noMultiLvlLbl val="0"/>
      </c:catAx>
      <c:valAx>
        <c:axId val="1102489584"/>
        <c:scaling>
          <c:orientation val="minMax"/>
        </c:scaling>
        <c:delete val="0"/>
        <c:axPos val="l"/>
        <c:numFmt formatCode="##\,##\,##0\ &quot;₹&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02484304"/>
        <c:crosses val="autoZero"/>
        <c:crossBetween val="between"/>
      </c:valAx>
      <c:valAx>
        <c:axId val="171668654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6675983"/>
        <c:crosses val="max"/>
        <c:crossBetween val="between"/>
      </c:valAx>
      <c:catAx>
        <c:axId val="1716675983"/>
        <c:scaling>
          <c:orientation val="minMax"/>
        </c:scaling>
        <c:delete val="1"/>
        <c:axPos val="b"/>
        <c:numFmt formatCode="General" sourceLinked="1"/>
        <c:majorTickMark val="out"/>
        <c:minorTickMark val="none"/>
        <c:tickLblPos val="nextTo"/>
        <c:crossAx val="1716686543"/>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4">
            <a:lumMod val="40000"/>
            <a:lumOff val="60000"/>
          </a:schemeClr>
        </a:gs>
        <a:gs pos="100000">
          <a:schemeClr val="accent4"/>
        </a:gs>
      </a:gsLst>
      <a:lin ang="4200000" scaled="0"/>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Flipkart Project.xlsx]Pie Chart!PivotTable12</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F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F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chemeClr val="bg1">
                  <a:lumMod val="75000"/>
                </a:schemeClr>
              </a:gs>
              <a:gs pos="100000">
                <a:schemeClr val="accent4"/>
              </a:gs>
            </a:gsLst>
            <a:lin ang="42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a:gsLst>
              <a:gs pos="0">
                <a:schemeClr val="bg1">
                  <a:lumMod val="65000"/>
                </a:schemeClr>
              </a:gs>
              <a:gs pos="100000">
                <a:schemeClr val="tx1"/>
              </a:gs>
            </a:gsLst>
            <a:lin ang="4200000" scaled="0"/>
          </a:gra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7F55E748-9D9C-433C-8E1F-CB85D5FED579}" type="VALUE">
                  <a:rPr lang="en-US" b="1">
                    <a:solidFill>
                      <a:schemeClr val="bg1"/>
                    </a:solidFill>
                  </a:rPr>
                  <a:pPr>
                    <a:defRPr>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gradFill>
            <a:gsLst>
              <a:gs pos="0">
                <a:schemeClr val="accent2"/>
              </a:gs>
              <a:gs pos="100000">
                <a:schemeClr val="tx1">
                  <a:lumMod val="75000"/>
                  <a:lumOff val="25000"/>
                </a:schemeClr>
              </a:gs>
            </a:gsLst>
            <a:lin ang="4200000" scaled="0"/>
          </a:gra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18961745-9DEE-46AC-AC0D-19FB29C5B565}" type="VALUE">
                  <a:rPr lang="en-US" b="1">
                    <a:solidFill>
                      <a:schemeClr val="bg1"/>
                    </a:solidFill>
                  </a:rPr>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gradFill>
            <a:gsLst>
              <a:gs pos="0">
                <a:srgbClr val="00B0F0"/>
              </a:gs>
              <a:gs pos="100000">
                <a:schemeClr val="tx1">
                  <a:lumMod val="85000"/>
                  <a:lumOff val="15000"/>
                </a:schemeClr>
              </a:gs>
            </a:gsLst>
            <a:lin ang="4200000" scaled="0"/>
          </a:gra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79214DD0-E15B-4698-A834-1E716AF9C55E}" type="VALUE">
                  <a:rPr lang="en-US" b="1">
                    <a:solidFill>
                      <a:schemeClr val="bg1"/>
                    </a:solidFill>
                  </a:rPr>
                  <a:pPr>
                    <a:defRPr>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7849934575517237"/>
          <c:y val="0.10967082850072075"/>
          <c:w val="0.65282826440828168"/>
          <c:h val="0.82135743246619963"/>
        </c:manualLayout>
      </c:layout>
      <c:doughnutChart>
        <c:varyColors val="1"/>
        <c:ser>
          <c:idx val="0"/>
          <c:order val="0"/>
          <c:tx>
            <c:strRef>
              <c:f>'Pie Chart'!$J$6</c:f>
              <c:strCache>
                <c:ptCount val="1"/>
                <c:pt idx="0">
                  <c:v>Total</c:v>
                </c:pt>
              </c:strCache>
            </c:strRef>
          </c:tx>
          <c:spPr>
            <a:gradFill>
              <a:gsLst>
                <a:gs pos="0">
                  <a:schemeClr val="bg1">
                    <a:lumMod val="75000"/>
                  </a:schemeClr>
                </a:gs>
                <a:gs pos="100000">
                  <a:schemeClr val="accent4"/>
                </a:gs>
              </a:gsLst>
              <a:lin ang="4200000" scaled="0"/>
            </a:gradFill>
          </c:spPr>
          <c:explosion val="2"/>
          <c:dPt>
            <c:idx val="0"/>
            <c:bubble3D val="0"/>
            <c:spPr>
              <a:gradFill>
                <a:gsLst>
                  <a:gs pos="0">
                    <a:schemeClr val="bg1">
                      <a:lumMod val="65000"/>
                    </a:schemeClr>
                  </a:gs>
                  <a:gs pos="100000">
                    <a:schemeClr val="tx1"/>
                  </a:gs>
                </a:gsLst>
                <a:lin ang="4200000" scaled="0"/>
              </a:gradFill>
              <a:ln w="19050">
                <a:solidFill>
                  <a:schemeClr val="lt1"/>
                </a:solidFill>
              </a:ln>
              <a:effectLst/>
            </c:spPr>
            <c:extLst>
              <c:ext xmlns:c16="http://schemas.microsoft.com/office/drawing/2014/chart" uri="{C3380CC4-5D6E-409C-BE32-E72D297353CC}">
                <c16:uniqueId val="{00000001-D175-42B4-A177-79F072134B0E}"/>
              </c:ext>
            </c:extLst>
          </c:dPt>
          <c:dPt>
            <c:idx val="1"/>
            <c:bubble3D val="0"/>
            <c:spPr>
              <a:gradFill>
                <a:gsLst>
                  <a:gs pos="0">
                    <a:srgbClr val="00B0F0"/>
                  </a:gs>
                  <a:gs pos="100000">
                    <a:schemeClr val="tx1">
                      <a:lumMod val="85000"/>
                      <a:lumOff val="15000"/>
                    </a:schemeClr>
                  </a:gs>
                </a:gsLst>
                <a:lin ang="4200000" scaled="0"/>
              </a:gradFill>
              <a:ln w="19050">
                <a:solidFill>
                  <a:schemeClr val="lt1"/>
                </a:solidFill>
              </a:ln>
              <a:effectLst/>
            </c:spPr>
            <c:extLst>
              <c:ext xmlns:c16="http://schemas.microsoft.com/office/drawing/2014/chart" uri="{C3380CC4-5D6E-409C-BE32-E72D297353CC}">
                <c16:uniqueId val="{00000003-D175-42B4-A177-79F072134B0E}"/>
              </c:ext>
            </c:extLst>
          </c:dPt>
          <c:dPt>
            <c:idx val="2"/>
            <c:bubble3D val="0"/>
            <c:spPr>
              <a:gradFill>
                <a:gsLst>
                  <a:gs pos="0">
                    <a:schemeClr val="bg1">
                      <a:lumMod val="75000"/>
                    </a:schemeClr>
                  </a:gs>
                  <a:gs pos="100000">
                    <a:schemeClr val="accent4"/>
                  </a:gs>
                </a:gsLst>
                <a:lin ang="4200000" scaled="0"/>
              </a:gradFill>
              <a:ln w="19050">
                <a:solidFill>
                  <a:schemeClr val="lt1"/>
                </a:solidFill>
              </a:ln>
              <a:effectLst/>
            </c:spPr>
            <c:extLst>
              <c:ext xmlns:c16="http://schemas.microsoft.com/office/drawing/2014/chart" uri="{C3380CC4-5D6E-409C-BE32-E72D297353CC}">
                <c16:uniqueId val="{00000005-D175-42B4-A177-79F072134B0E}"/>
              </c:ext>
            </c:extLst>
          </c:dPt>
          <c:dLbls>
            <c:dLbl>
              <c:idx val="0"/>
              <c:tx>
                <c:rich>
                  <a:bodyPr/>
                  <a:lstStyle/>
                  <a:p>
                    <a:fld id="{7F55E748-9D9C-433C-8E1F-CB85D5FED579}" type="VALUE">
                      <a:rPr lang="en-US" b="1">
                        <a:solidFill>
                          <a:schemeClr val="bg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175-42B4-A177-79F072134B0E}"/>
                </c:ext>
              </c:extLst>
            </c:dLbl>
            <c:dLbl>
              <c:idx val="1"/>
              <c:tx>
                <c:rich>
                  <a:bodyPr/>
                  <a:lstStyle/>
                  <a:p>
                    <a:fld id="{79214DD0-E15B-4698-A834-1E716AF9C55E}" type="VALUE">
                      <a:rPr lang="en-US" b="1">
                        <a:solidFill>
                          <a:schemeClr val="bg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175-42B4-A177-79F072134B0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'Pie Chart'!$I$7:$I$9</c:f>
              <c:strCache>
                <c:ptCount val="2"/>
                <c:pt idx="0">
                  <c:v>Electronics</c:v>
                </c:pt>
                <c:pt idx="1">
                  <c:v>Home Appliance</c:v>
                </c:pt>
              </c:strCache>
            </c:strRef>
          </c:cat>
          <c:val>
            <c:numRef>
              <c:f>'Pie Chart'!$J$7:$J$9</c:f>
              <c:numCache>
                <c:formatCode>0.00%</c:formatCode>
                <c:ptCount val="2"/>
                <c:pt idx="0">
                  <c:v>0.71370143149284249</c:v>
                </c:pt>
                <c:pt idx="1">
                  <c:v>0.28629856850715746</c:v>
                </c:pt>
              </c:numCache>
            </c:numRef>
          </c:val>
          <c:extLst>
            <c:ext xmlns:c16="http://schemas.microsoft.com/office/drawing/2014/chart" uri="{C3380CC4-5D6E-409C-BE32-E72D297353CC}">
              <c16:uniqueId val="{00000006-D175-42B4-A177-79F072134B0E}"/>
            </c:ext>
          </c:extLst>
        </c:ser>
        <c:dLbls>
          <c:showLegendKey val="0"/>
          <c:showVal val="0"/>
          <c:showCatName val="0"/>
          <c:showSerName val="0"/>
          <c:showPercent val="0"/>
          <c:showBubbleSize val="0"/>
          <c:showLeaderLines val="1"/>
        </c:dLbls>
        <c:firstSliceAng val="0"/>
        <c:holeSize val="56"/>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Flipkart Project.xlsx]Top 5!PivotTable14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tx1">
                  <a:lumMod val="0"/>
                </a:schemeClr>
              </a:gs>
              <a:gs pos="100000">
                <a:schemeClr val="bg1">
                  <a:lumMod val="75000"/>
                </a:schemeClr>
              </a:gs>
            </a:gsLst>
            <a:lin ang="4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tx1">
                  <a:lumMod val="0"/>
                </a:schemeClr>
              </a:gs>
              <a:gs pos="100000">
                <a:schemeClr val="bg1">
                  <a:lumMod val="75000"/>
                </a:schemeClr>
              </a:gs>
            </a:gsLst>
            <a:lin ang="4200000" scaled="0"/>
          </a:gra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9BFFE90-DCD2-4585-890D-A98D7B56E06C}"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gradFill>
            <a:gsLst>
              <a:gs pos="0">
                <a:schemeClr val="tx1">
                  <a:lumMod val="0"/>
                </a:schemeClr>
              </a:gs>
              <a:gs pos="100000">
                <a:schemeClr val="bg1">
                  <a:lumMod val="75000"/>
                </a:schemeClr>
              </a:gs>
            </a:gsLst>
            <a:lin ang="4200000" scaled="0"/>
          </a:gra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BF9530F-0EC9-4516-805A-45D232048ADF}" type="VALUE">
                  <a:rPr lang="en-US"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gradFill>
            <a:gsLst>
              <a:gs pos="0">
                <a:schemeClr val="tx1">
                  <a:lumMod val="0"/>
                </a:schemeClr>
              </a:gs>
              <a:gs pos="100000">
                <a:schemeClr val="bg1">
                  <a:lumMod val="75000"/>
                </a:schemeClr>
              </a:gs>
            </a:gsLst>
            <a:lin ang="4200000" scaled="0"/>
          </a:gra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2C3AAEE-7CC0-46B2-8079-C331098B8878}" type="VALUE">
                  <a:rPr lang="en-US"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gradFill>
            <a:gsLst>
              <a:gs pos="0">
                <a:schemeClr val="tx1">
                  <a:lumMod val="0"/>
                </a:schemeClr>
              </a:gs>
              <a:gs pos="100000">
                <a:schemeClr val="bg1">
                  <a:lumMod val="75000"/>
                </a:schemeClr>
              </a:gs>
            </a:gsLst>
            <a:lin ang="4200000" scaled="0"/>
          </a:gra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3A102F6-8EC6-45BB-8742-D40F7F127447}"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gradFill>
            <a:gsLst>
              <a:gs pos="0">
                <a:schemeClr val="tx1">
                  <a:lumMod val="0"/>
                </a:schemeClr>
              </a:gs>
              <a:gs pos="100000">
                <a:schemeClr val="bg1">
                  <a:lumMod val="75000"/>
                </a:schemeClr>
              </a:gs>
            </a:gsLst>
            <a:lin ang="4200000" scaled="0"/>
          </a:gra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13159A7-339C-449C-BBC3-CCF27A44FB8C}" type="VALUE">
                  <a:rPr lang="en-US"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5615865941451651"/>
          <c:y val="8.7332085182789454E-2"/>
          <c:w val="0.73030845327222693"/>
          <c:h val="0.86027791676897181"/>
        </c:manualLayout>
      </c:layout>
      <c:barChart>
        <c:barDir val="bar"/>
        <c:grouping val="clustered"/>
        <c:varyColors val="0"/>
        <c:ser>
          <c:idx val="0"/>
          <c:order val="0"/>
          <c:tx>
            <c:strRef>
              <c:f>'Top 5'!$J$5</c:f>
              <c:strCache>
                <c:ptCount val="1"/>
                <c:pt idx="0">
                  <c:v>Total</c:v>
                </c:pt>
              </c:strCache>
            </c:strRef>
          </c:tx>
          <c:spPr>
            <a:gradFill>
              <a:gsLst>
                <a:gs pos="0">
                  <a:schemeClr val="tx1">
                    <a:lumMod val="0"/>
                  </a:schemeClr>
                </a:gs>
                <a:gs pos="100000">
                  <a:schemeClr val="bg1">
                    <a:lumMod val="75000"/>
                  </a:schemeClr>
                </a:gs>
              </a:gsLst>
              <a:lin ang="4200000" scaled="0"/>
            </a:gradFill>
            <a:ln>
              <a:noFill/>
            </a:ln>
            <a:effectLst/>
          </c:spPr>
          <c:invertIfNegative val="0"/>
          <c:dPt>
            <c:idx val="0"/>
            <c:invertIfNegative val="0"/>
            <c:bubble3D val="0"/>
            <c:spPr>
              <a:gradFill>
                <a:gsLst>
                  <a:gs pos="0">
                    <a:schemeClr val="tx1">
                      <a:lumMod val="0"/>
                    </a:schemeClr>
                  </a:gs>
                  <a:gs pos="100000">
                    <a:schemeClr val="bg1">
                      <a:lumMod val="75000"/>
                    </a:schemeClr>
                  </a:gs>
                </a:gsLst>
                <a:lin ang="4200000" scaled="0"/>
              </a:gradFill>
              <a:ln>
                <a:noFill/>
              </a:ln>
              <a:effectLst/>
            </c:spPr>
            <c:extLst>
              <c:ext xmlns:c16="http://schemas.microsoft.com/office/drawing/2014/chart" uri="{C3380CC4-5D6E-409C-BE32-E72D297353CC}">
                <c16:uniqueId val="{00000005-2C7C-452B-BE6D-229668FE5493}"/>
              </c:ext>
            </c:extLst>
          </c:dPt>
          <c:dPt>
            <c:idx val="1"/>
            <c:invertIfNegative val="0"/>
            <c:bubble3D val="0"/>
            <c:spPr>
              <a:gradFill>
                <a:gsLst>
                  <a:gs pos="0">
                    <a:schemeClr val="tx1">
                      <a:lumMod val="0"/>
                    </a:schemeClr>
                  </a:gs>
                  <a:gs pos="100000">
                    <a:schemeClr val="bg1">
                      <a:lumMod val="75000"/>
                    </a:schemeClr>
                  </a:gs>
                </a:gsLst>
                <a:lin ang="4200000" scaled="0"/>
              </a:gradFill>
              <a:ln>
                <a:noFill/>
              </a:ln>
              <a:effectLst/>
            </c:spPr>
            <c:extLst>
              <c:ext xmlns:c16="http://schemas.microsoft.com/office/drawing/2014/chart" uri="{C3380CC4-5D6E-409C-BE32-E72D297353CC}">
                <c16:uniqueId val="{00000004-2C7C-452B-BE6D-229668FE5493}"/>
              </c:ext>
            </c:extLst>
          </c:dPt>
          <c:dPt>
            <c:idx val="2"/>
            <c:invertIfNegative val="0"/>
            <c:bubble3D val="0"/>
            <c:spPr>
              <a:gradFill>
                <a:gsLst>
                  <a:gs pos="0">
                    <a:schemeClr val="tx1">
                      <a:lumMod val="0"/>
                    </a:schemeClr>
                  </a:gs>
                  <a:gs pos="100000">
                    <a:schemeClr val="bg1">
                      <a:lumMod val="75000"/>
                    </a:schemeClr>
                  </a:gs>
                </a:gsLst>
                <a:lin ang="4200000" scaled="0"/>
              </a:gradFill>
              <a:ln>
                <a:noFill/>
              </a:ln>
              <a:effectLst/>
            </c:spPr>
            <c:extLst>
              <c:ext xmlns:c16="http://schemas.microsoft.com/office/drawing/2014/chart" uri="{C3380CC4-5D6E-409C-BE32-E72D297353CC}">
                <c16:uniqueId val="{00000003-2C7C-452B-BE6D-229668FE5493}"/>
              </c:ext>
            </c:extLst>
          </c:dPt>
          <c:dPt>
            <c:idx val="3"/>
            <c:invertIfNegative val="0"/>
            <c:bubble3D val="0"/>
            <c:extLst>
              <c:ext xmlns:c16="http://schemas.microsoft.com/office/drawing/2014/chart" uri="{C3380CC4-5D6E-409C-BE32-E72D297353CC}">
                <c16:uniqueId val="{00000002-2C7C-452B-BE6D-229668FE5493}"/>
              </c:ext>
            </c:extLst>
          </c:dPt>
          <c:dPt>
            <c:idx val="4"/>
            <c:invertIfNegative val="0"/>
            <c:bubble3D val="0"/>
            <c:extLst>
              <c:ext xmlns:c16="http://schemas.microsoft.com/office/drawing/2014/chart" uri="{C3380CC4-5D6E-409C-BE32-E72D297353CC}">
                <c16:uniqueId val="{00000001-2C7C-452B-BE6D-229668FE5493}"/>
              </c:ext>
            </c:extLst>
          </c:dPt>
          <c:dLbls>
            <c:dLbl>
              <c:idx val="0"/>
              <c:tx>
                <c:rich>
                  <a:bodyPr/>
                  <a:lstStyle/>
                  <a:p>
                    <a:fld id="{B13159A7-339C-449C-BBC3-CCF27A44FB8C}" type="VALUE">
                      <a:rPr lang="en-US" b="1">
                        <a:solidFill>
                          <a:schemeClr val="bg1"/>
                        </a:solidFill>
                      </a:rPr>
                      <a:pPr/>
                      <a:t>[VALUE]</a:t>
                    </a:fld>
                    <a:endParaRPr lang="en-US"/>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2C7C-452B-BE6D-229668FE5493}"/>
                </c:ext>
              </c:extLst>
            </c:dLbl>
            <c:dLbl>
              <c:idx val="1"/>
              <c:tx>
                <c:rich>
                  <a:bodyPr/>
                  <a:lstStyle/>
                  <a:p>
                    <a:fld id="{22C3AAEE-7CC0-46B2-8079-C331098B8878}" type="VALUE">
                      <a:rPr lang="en-US" b="1">
                        <a:solidFill>
                          <a:schemeClr val="bg1"/>
                        </a:solidFill>
                      </a:rPr>
                      <a:pPr/>
                      <a:t>[VALUE]</a:t>
                    </a:fld>
                    <a:endParaRPr lang="en-US"/>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2C7C-452B-BE6D-229668FE5493}"/>
                </c:ext>
              </c:extLst>
            </c:dLbl>
            <c:dLbl>
              <c:idx val="2"/>
              <c:tx>
                <c:rich>
                  <a:bodyPr/>
                  <a:lstStyle/>
                  <a:p>
                    <a:fld id="{EBF9530F-0EC9-4516-805A-45D232048ADF}" type="VALUE">
                      <a:rPr lang="en-US" b="1">
                        <a:solidFill>
                          <a:schemeClr val="bg1"/>
                        </a:solidFill>
                      </a:rPr>
                      <a:pPr/>
                      <a:t>[VALUE]</a:t>
                    </a:fld>
                    <a:endParaRPr lang="en-US"/>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2C7C-452B-BE6D-229668FE549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5'!$I$6:$I$9</c:f>
              <c:strCache>
                <c:ptCount val="3"/>
                <c:pt idx="0">
                  <c:v>AC</c:v>
                </c:pt>
                <c:pt idx="1">
                  <c:v>Mobile</c:v>
                </c:pt>
                <c:pt idx="2">
                  <c:v>TV</c:v>
                </c:pt>
              </c:strCache>
            </c:strRef>
          </c:cat>
          <c:val>
            <c:numRef>
              <c:f>'Top 5'!$J$6:$J$9</c:f>
              <c:numCache>
                <c:formatCode>##\,##\,##0\ "₹"</c:formatCode>
                <c:ptCount val="3"/>
                <c:pt idx="0">
                  <c:v>280000</c:v>
                </c:pt>
                <c:pt idx="1">
                  <c:v>324000</c:v>
                </c:pt>
                <c:pt idx="2">
                  <c:v>374000</c:v>
                </c:pt>
              </c:numCache>
            </c:numRef>
          </c:val>
          <c:extLst>
            <c:ext xmlns:c16="http://schemas.microsoft.com/office/drawing/2014/chart" uri="{C3380CC4-5D6E-409C-BE32-E72D297353CC}">
              <c16:uniqueId val="{00000000-2C7C-452B-BE6D-229668FE5493}"/>
            </c:ext>
          </c:extLst>
        </c:ser>
        <c:dLbls>
          <c:dLblPos val="inEnd"/>
          <c:showLegendKey val="0"/>
          <c:showVal val="1"/>
          <c:showCatName val="0"/>
          <c:showSerName val="0"/>
          <c:showPercent val="0"/>
          <c:showBubbleSize val="0"/>
        </c:dLbls>
        <c:gapWidth val="142"/>
        <c:axId val="1102488144"/>
        <c:axId val="1102504944"/>
      </c:barChart>
      <c:catAx>
        <c:axId val="11024881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02504944"/>
        <c:crosses val="autoZero"/>
        <c:auto val="1"/>
        <c:lblAlgn val="ctr"/>
        <c:lblOffset val="100"/>
        <c:noMultiLvlLbl val="0"/>
      </c:catAx>
      <c:valAx>
        <c:axId val="1102504944"/>
        <c:scaling>
          <c:orientation val="minMax"/>
        </c:scaling>
        <c:delete val="1"/>
        <c:axPos val="b"/>
        <c:numFmt formatCode="##\,##\,##0\ &quot;₹&quot;" sourceLinked="1"/>
        <c:majorTickMark val="out"/>
        <c:minorTickMark val="none"/>
        <c:tickLblPos val="nextTo"/>
        <c:crossAx val="1102488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E002E60F-ADB4-4C7A-8771-A45BA778DE3D}">
          <cx:tx>
            <cx:txData>
              <cx:f>_xlchart.v1.1</cx:f>
              <cx:v>Profit</cx:v>
            </cx:txData>
          </cx:tx>
          <cx:dataLabels>
            <cx:visibility seriesName="0" categoryName="0" value="1"/>
          </cx:dataLabels>
          <cx:dataId val="0"/>
          <cx:layoutPr>
            <cx:visibility connectorLines="1"/>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_xlchart.v5.4</cx:nf>
      </cx:strDim>
      <cx:numDim type="colorVal">
        <cx:f>_xlchart.v5.5</cx:f>
        <cx:nf>_xlchart.v5.6</cx:nf>
      </cx:numDim>
    </cx:data>
  </cx:chartData>
  <cx:chart>
    <cx:title pos="t" align="ctr" overlay="0"/>
    <cx:plotArea>
      <cx:plotAreaRegion>
        <cx:series layoutId="regionMap" uniqueId="{FEEC0123-F092-40D7-9021-62E3091ED6F0}">
          <cx:tx>
            <cx:txData>
              <cx:f>_xlchart.v5.6</cx:f>
              <cx:v>Sales</cx:v>
            </cx:txData>
          </cx:tx>
          <cx:dataId val="0"/>
          <cx:layoutPr>
            <cx:geography cultureLanguage="en-US" cultureRegion="IN" attribution="Powered by Bing">
              <cx:geoCache provider="{E9337A44-BEBE-4D9F-B70C-5C5E7DAFC167}">
                <cx:binary>7FlZk9w2kv4rCj0vbdwkJ8bzALLOvlstydILo9XdAkCABAheAH/9ouVjbM+Md2Ovp62oiCoSd2bi
yy8z//oU/vJkXh79m9CZfvzLU/jhrZwm95fvvx+f5Ev3OH7XqSdvR/t1+u7Jdt/br1/V08v3z/5x
Vb34HgFIvn+Sj356CW//9tc0m3ixl/bpcVK2v5tffLx/GWczjX/S9k+b3jw+d6qv1Th59TTBH95e
PaZVHkc5+ce3b176SU3xIbqXH97+ruPbN9//cbp/WPqNSbub5uc0FpbfEYpAgWkJvn3g2zfG9uLn
5px9B0FRYkTKnz70l6WvH7s0/D+5p287enx+9i/jmM717fcPg393iNR2fPvmyc799Co/kUT5w9tT
/6zSydVoq58aKvt6gtP1tyN//3vJ/+2vf3iRhPCHN79Rzh8l9h81/YNuDv6xf37zYKdH84uA/pVu
/hd3Af4P1/7nyvmdFl9tNqnx/03Vx/9JU/3XBvTrRa8fp8fdN4T4jSX/eesvV+APQ/9Mez8p9vT8
w1sCC8R+gzyvk/w88l/ixG/GvTyO0w9vC/BdCVCCIVbSAoC8SFC0vry25Og7RiEEANKClZCAtFZv
/SR/eIvQdwClF0WBES5zwtKg0c6vTZB+xyClZckwQgzDgvyKz7fWRGH7XyXy8/Obfu5ureqnMY0G
FL19437q+LrXNDcpCMkhxrhgCfXztAv39HifvMBr/39DcyzChLKwi5NDy5EpquqwjGzimyRfhZ7K
uZq6vMR1KJfN80IsQ8+hAPCizPJM7Yq8LbjuR2p/7GJC3OtlBq89+hE94YFBUKsNn/JAQMd93gTI
TS685E3WGndHvVIfM0KVeAciWe3dgHoz1qpVk64s6deF+541qCZm9b5upSsLPm1Ma86WsVG87FC3
8hJ1duURNzqvLO3FbT8J+BW2luzawFBZDXouT4MesnukZYauZ70tXQ3lSqjjCg76ZvVuvQSD6RZO
DRjTAfx6niZAi9pTuzTXTRdzxftCAX1faPRju2wRHtYMhJkPOVJttTYs8qCk8nwLnrSXZMFwrPpi
lF2FdBC+tstI2moQrXwgRdaxvU8WAeqIfL5V69Kq9mbEAOyECug9G0Z8mQEcxX4bi8Ucs0Ks+uyD
myVnYmSWs5wAx+NYmpGHtiB3aII6Vg6QmWeUynpqC8FXJ9BNbkZ7CX0h7wIU7tMIsyfqp63lY9B2
rnXZ0R0r13HidmYFL4lRH9NsbC8W4W8bmhX2RI1bDd96sxV7BgS515Ft4qoXzdpUzMyk5CEb8Xjq
45aF/WqZbXnDAN2uyJT77Cxy6FgF1o1kR0/L9qMvtnU+zE40y1XjQywrqtSI6mJF9LYPAa6VKpqx
vyzAZDVfSjP13C4OHulUkq4ao9LlCRAt3YUOndK8YHhedrRf+yMKxTTVEFtkd2JD6f+04Bj5iKVq
9lHrxZxAtGPcya5EcCdzxxAnwoWHUcrMHNuAyRfHmuF9Jy2omPD+2Y4NDOdkdaTloGui3y1+mkJN
oS259GA+CTNOgg9bvvkKZMXS8axo2LltAf7iSjiHo4Rz0e1kEONSDyVKGote2DNeJ7dw5by+TARK
3nmV3+a9Zu/HcQ59NTVDdhIzlOdiXXPAR9i5j0XfwvtsluPnrYzsoqT6uFg0DVynpdG7xi9UcmvU
hB6UFznjEGg7VDNw8Z3q8fbcyW67Wijwa2VmK+GNn0U+8GA1Wneo39xy3IDorsq29NMxEKuHGrRL
92nKtuGmbHMw1L500dUNKLWtMorJwxClIxygjg28yAo87bTu6SWZeklrJ6LKeRszAS9mnDCBj6Ij
V97BmdSrtNFw3Hbq81RaFHZ5JMnaoci2CrqIitoOMuOkAM2HbDPNYcsXXXXB9s/GZTM3Xqq9aEj4
WC7p2g1jW+QHOPjuUzQi3RtXjtONsNRXhHT2ogdmeRgFayU30SQsMGU4K0LwrS9p8JyUuD3Oi+12
vYKm4y1YUHccwEDew06PF2NcxWeqkSx32zSZ5k4Hla88x3JpDmUc1v2MhPwSXDZE3soCLXwDcE7m
YYYHxQA+hS0nihPT24xLtmJOmpyZZ0elP2O/lbhqQrF9mKHon4bFLuV+MTiIg0wex9WdzkWVm3XZ
kUWs13Kw2akhCLd8Edas79yqGl9JGgOppemXsfJlN8AzQ407L8yZ+RAihoiPG3BtrTFhutqaZKsV
BcP4cWljftMvyFZlrrLPUDR5/75oxwzUa0gXhZe6BHWTWUrrPLnB4qnLIuYmgf6B+jWZp/y4qQx8
mWYDdwWy7Y4o7fflLIdajgXLEoR3uLZQpSWJUMORkZGmO1riMsG+FtN5iLHsH2yYMakgcdtuIUNz
38UMPIiok0QZWvNl11Oo1p0hbXsH5iYnfAZokbzIKckuyIbaR7Y0djkKBWZ9RXCzVYVIkFO1EHc7
hxRgfJv9fNsoLR5gkWCuXkSAU8ILVdoa0iFZYkn7rOWrKNf3ZdyGLeEVVA0fk+TVbnOE3ZkwZKgy
se+GSs29czWLS9oIotLdqwFlyQFsuZWVdIoNlcwSgzipAhGTRKHYrk9oVlYwV+FCTwockzFv2Wnu
oTiFYJ2qlsQPxiPKlG/200DLY29a9cxCOXzsZ2/vsmVSHQ+D2p40yYznNqeIJv8wF7ZOS0xdtczt
doI90fo4UlPOXKk4xKpjGyK8KF6F0KOZg1V37e2ot5gIgsf4sRi25OiKvncP0RbjlQVuJTXTQY+c
6ASt5Vzgki+56K4Ds+oeF3L5sEZbnnUUJd6DLNvu2w4UKxfFPC5Xutziw7KBwtdrq5M7EtoP7hjY
XLzkK4nHDgt43aySWm6z1RpuN70OvF/FZutiyQsOVZDNDYltiEcyt668jQVbFp6tubzKsC8/MRrp
XYuyiwG3KvB86u7nrlQXsN0mWTc9VAecQK5uxJIdW2UAL+bwpXVmqZRLmInAqPFn6rvCVAJtxcdJ
zfjr6JaGSxLso842KCs7LPoEwqp5whjBgRLtu0jauTLr3Io6+q6tloDUfTb0+RkOOUCHBfeMd4LJ
2pjWcweFUNXQRMnnTZSGk0GiKh+o5iFvtnM2bI3nQCB2T0zW6c8STuKSLXqtmJXbMXRgLhPGKcml
WzGsTNr0oRV2LXgB0XSYpFgvMrkKUgG2Trs+VzHfwVbl18uQ+afFEPFMViY/yTE+ZDA5Vo5aQVSV
L97uVXCk7iQDW6IeuRPcJyzyiXltaDmRfmJfhkw6cIC9Qdl5adsTJJEekG+KO4K2jlOt4INh2H2m
UI72GrfD8pUVeb8mbqBRd8Mm6U0t2zVje4o2XaFYuG4H4Grh0RIdvggkyueV9Gr5YJu1VwdmoX0e
KAb+bm1Qnu9QC/PyTDogpktVwiRGIco5crI07hkLswyJ3iC5nBpgCEveWaPIDbRdee57vLwbQLEt
tdJZ924tR4tPNrBuu8d+uF9Gp+2Z+mGJHJdrvIs57kGFN3kFp6COisYRVDL46eBlclmTmTpX5UQG
W6GhSdckEfHpVm1enrpCFOe+zdSxKVd8AwiRK++m1e6mEOaqsc7sSmBE8uWJgzx7gsN72udyN+cr
qnMrUGLRtviQZX0T+RpBMZ2K3rD+MfZT6Q4JaMuHqFryPC8DdlwQ39/M5Th8mINhVYvjCs9YR3M5
IpubygwCfkSAwA8scbXrcaLiUJpFkNp2nnUH2jFidgAFzEN0bqiwduQpOUhTJ5dV6CorMvxxasZH
5IdGVmExZuMCaffV6WH4CBV1GYelzLOKNnMiHJmK/YdBzOJhtbpwibsVkoPEF9+tgwm0SJY8oB+3
lQxVOWxmfZpI13OSkYTGjdqFxMkfYdhYNUf5rtUInjKEE/JPgeLyPOCiZEewwWW71NDouE/Zsrm9
VnbBqC7XLG95RmasjsiNbNunf12eMC9fZAVgX4i9Gma3H/MBh4t5K6aHcRh7Wikk0DvVaqhqRJIr
l1G7ex9HcZ9sfztuy4Yg10Vy83W/zfOtKhSpyhG7C2BGvEdZYgXKkBfCGBor13uceGPR0tPYjlF+
7AYnl6pErpG8cz4xwg0DeOXwMN+SNdRZ1zoe5lntBibDGXSl3WHAxmoZl896XtWwn8dNN5U0uS85
lpReD6Gc7tes2Q4CIfWjS7I99X3wusKs1/aosjJjte6IUjvAJNYVWbLsk5zYnJ3bzPUln3GXv1/x
wkDdtwTiqvOLfQKmyANvkqO9FuQ1OLP5qG3y3mV4p2JozN6qsk0qpNsnrOT6GaVdsLpdJYBVkeTt
aoLdeCDYh88DEhNI4ZgmN0pi8JAIbkLYdlsSWZ+9PDfYhpeuGeKexdycPGw2dVxKS65S0FA056F1
6EtrHa4NTOFMnUjGlldyK2dfbTqEzwHFxnHUE4KSFptdZwblqjJpbOK5xrrdpcsMB75uevmSri+7
HLWZHJcQJO++kF4cGymNqxdp9isYcsxjQ7sbBBIZ2jUDUPA8lrJh+xQRA1wLlbUpqkrhDatSkLsd
SqLRZzolB1Zt05ziVyIAETzOhukUKJUsvvfNCMkxm3DZ7tXYy+dl8PS0yBl+6kJf1KOk/qhdgvkN
Ya84jSxhjZ7szveTrjtaiJajLoXpVQxza3mH2PiZZENzI/KFHhj08oNXhSlqEZ3U+6Y17G7zkx3P
g0UNqMeyYQ1vRM92RRfKls+raBOhRCLxGir7cFO4opSVmFT5rEpcvMOjeC/L0htOW1Zy29sume6W
73GuwKHQoDjHEa68IEN/ckG523wZQO08Y36XfLMxu6jm8d43K+TYz3msVa/Gp3aSbNqXqJz8MZ96
8xqyT89u2pab4FsL09lArjm1QiQnHSJ4JNMKapP08JVost0vMjn4xEbZJZklu2udILyTzXpll+1C
5CWduKHWxWrolqMm7GmcE+HRTORcoX69WGWKktAADmNrEuNdGP64bfI5mVtIMlaUz0w9m0V1p7HB
XW1UkeTdJoYcILsmXebOHR3Thhbrbovkhvdq8uJz4hSd5Qn82DuiHwGidKeSHSWi3+NaRdrvILH0
pHvg3jVuAgdfLL5KwFlbO+IDVH3+PJsMHhvgyQk7fdz6AgnOZt3WLrh+33Yev/MQxot8K8CX0pP+
gi1ofZy9a2rS6K7bl1ME4Wi0ZWKXQHJ92mY2r7zXcKjGhhbnSQ+JdA0onb1a1mx4pJoVcbexgV7G
GfujDYnTa4bzQ9u69eiamML9xenbtcDxmlFCPaeriZdrWBIrLNZpe4ntqNuUMOpdRUlXPETK2GVE
rq3Y2JMUE5uiWp0GNUpM/sVkwR/8NHxzJj8O5ThDvlk6X40sgejEWttWDlPaHDpbiuME42EwhT70
kwwcYpeSH5q56X2iu0NKUMTRVeFbzBGcqIeR6q8FluWJervdr7HdPkEj2H1v4xw4kO1YDYjEkfdg
hpWiCS5T5uZArTmtSLiDNJDdzJrAdKBQZBWitk9kJ+vIHs+2qUQ+0cvFpPh0zsnw4+rBRQ5jrzmg
Ob03JZmOQ+fDnQEkJY6A7IpK9/rHwWDwYwM6V5vZ++sVr3BH+oj2jr6mz8a1dj2BVWI09FYOlO1o
rtTZAcQHHOcjDvl1kWheRYacXESKYCJS5VYjioddjyaaYuRFXfpRZLslOeM9K0Gid0x0lwmo2l26
MsXHPhuc4sIPQ9VjpDiC4iGavFwOCizhgbEw7tfRTsk+ypneFCIvGBcti1erydZdQtzILe7NPk5i
OG+bcOgiwNZNu5RNO8VGjp+ytgAPlA1TlmKVbXy/LWVie0Ljj0NowSHvNEha3cDRsaR/34tpl4+m
FechrImGrHKtF0pp4jmbzr+E3jyyLB0kWJjyBdPWvSwxbw4JH+z9sK1rokNNdm3wUOxIs36c2uRY
Z9j1tTDS2QMNdKlaE+6lNfm1o00H+ZTCgYmXMoU3vFmpugDa96cc+OIFTPg2axLtHkO2JULWxFtG
ItuFbIoVHE3GXxMnbcjsQYZ2OrGwpdxUtBv7wFBHP1GdVWCUyZOIWV3kw+QOMcUbuywmYnvdBBq/
bMrg91oH8HX1c5bigZLezps6tIxu07XLol6v5OJk4tSZPHabeRooROMuw2M4Juodv8qi7W71SNFx
WJZh50E3xTugG07m2O+XYoINj3GUiUltVKBEh/NsqHSrtrUqUtByB3CHI6c9TE6P/7Zk9btk9FMC
UK+E/Lle+Ovj3x5sl77falh/f/labvz709Uvdco/7XV4sa85+fGPnV7LCr/O9fdq2Wsq/9fS2R+K
Az9VNv+89dcc++vYb8n1B/vnpYl/1em3FYp/7PNfL1R8m+tbneTP5vhvlUxTSfbnqs2fSeE/1eln
zXwrWf/t3wEAAP//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val">
        <cx:f>_xlchart.v1.13</cx:f>
      </cx:numDim>
    </cx:data>
  </cx:chartData>
  <cx:chart>
    <cx:plotArea>
      <cx:plotAreaRegion>
        <cx:plotSurface>
          <cx:spPr>
            <a:noFill/>
            <a:ln>
              <a:noFill/>
            </a:ln>
          </cx:spPr>
        </cx:plotSurface>
        <cx:series layoutId="waterfall" uniqueId="{E002E60F-ADB4-4C7A-8771-A45BA778DE3D}">
          <cx:tx>
            <cx:txData>
              <cx:f>_xlchart.v1.12</cx:f>
              <cx:v>Profit</cx:v>
            </cx:txData>
          </cx:tx>
          <cx:spPr>
            <a:gradFill>
              <a:gsLst>
                <a:gs pos="0">
                  <a:srgbClr val="00B0F0"/>
                </a:gs>
                <a:gs pos="100000">
                  <a:schemeClr val="tx1">
                    <a:lumMod val="85000"/>
                    <a:lumOff val="15000"/>
                  </a:schemeClr>
                </a:gs>
              </a:gsLst>
              <a:lin ang="7200000" scaled="0"/>
            </a:gradFill>
          </cx:spPr>
          <cx:dataLabels>
            <cx:visibility seriesName="0" categoryName="0" value="1"/>
          </cx:dataLabels>
          <cx:dataId val="0"/>
          <cx:layoutPr>
            <cx:visibility connectorLines="1"/>
            <cx:subtotals/>
          </cx:layoutPr>
        </cx:series>
      </cx:plotAreaRegion>
      <cx:axis id="0">
        <cx:catScaling gapWidth="0.5"/>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axis>
      <cx:axis id="1">
        <cx:valScaling/>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_xlchart.v5.8</cx:nf>
      </cx:strDim>
      <cx:numDim type="colorVal">
        <cx:f>_xlchart.v5.9</cx:f>
        <cx:nf>_xlchart.v5.10</cx:nf>
      </cx:numDim>
    </cx:data>
  </cx:chartData>
  <cx:chart>
    <cx:plotArea>
      <cx:plotAreaRegion>
        <cx:plotSurface>
          <cx:spPr>
            <a:noFill/>
          </cx:spPr>
        </cx:plotSurface>
        <cx:series layoutId="regionMap" uniqueId="{FEEC0123-F092-40D7-9021-62E3091ED6F0}">
          <cx:tx>
            <cx:txData>
              <cx:f>_xlchart.v5.10</cx:f>
              <cx:v>Sales</cx:v>
            </cx:txData>
          </cx:tx>
          <cx:spPr>
            <a:gradFill>
              <a:gsLst>
                <a:gs pos="0">
                  <a:schemeClr val="tx1">
                    <a:lumMod val="0"/>
                  </a:schemeClr>
                </a:gs>
                <a:gs pos="100000">
                  <a:srgbClr val="00B0F0"/>
                </a:gs>
              </a:gsLst>
              <a:lin ang="4200000" scaled="0"/>
            </a:gradFill>
          </cx:spPr>
          <cx:dataId val="0"/>
          <cx:layoutPr>
            <cx:geography cultureLanguage="en-US" cultureRegion="IN" attribution="Powered by Bing">
              <cx:geoCache provider="{E9337A44-BEBE-4D9F-B70C-5C5E7DAFC167}">
                <cx:binary>7FlZk9w2kv4rCj0vbdwkJ8bzALLOvlstydILo9XdAkCABAheAH/9ouVjbM+Md2Ovp62oiCoSd2bi
yy8z//oU/vJkXh79m9CZfvzLU/jhrZwm95fvvx+f5Ev3OH7XqSdvR/t1+u7Jdt/br1/V08v3z/5x
Vb34HgFIvn+Sj356CW//9tc0m3ixl/bpcVK2v5tffLx/GWczjX/S9k+b3jw+d6qv1Th59TTBH95e
PaZVHkc5+ce3b176SU3xIbqXH97+ruPbN9//cbp/WPqNSbub5uc0FpbfEYpAgWkJvn3g2zfG9uLn
5px9B0FRYkTKnz70l6WvH7s0/D+5p287enx+9i/jmM717fcPg393iNR2fPvmyc799Co/kUT5w9tT
/6zSydVoq58aKvt6gtP1tyN//3vJ/+2vf3iRhPCHN79Rzh8l9h81/YNuDv6xf37zYKdH84uA/pVu
/hd3Af4P1/7nyvmdFl9tNqnx/03Vx/9JU/3XBvTrRa8fp8fdN4T4jSX/eesvV+APQ/9Mez8p9vT8
w1sCC8R+gzyvk/w88l/ixG/GvTyO0w9vC/BdCVCCIVbSAoC8SFC0vry25Og7RiEEANKClZCAtFZv
/SR/eIvQdwClF0WBES5zwtKg0c6vTZB+xyClZckwQgzDgvyKz7fWRGH7XyXy8/Obfu5ureqnMY0G
FL19437q+LrXNDcpCMkhxrhgCfXztAv39HifvMBr/39DcyzChLKwi5NDy5EpquqwjGzimyRfhZ7K
uZq6vMR1KJfN80IsQ8+hAPCizPJM7Yq8LbjuR2p/7GJC3OtlBq89+hE94YFBUKsNn/JAQMd93gTI
TS685E3WGndHvVIfM0KVeAciWe3dgHoz1qpVk64s6deF+541qCZm9b5upSsLPm1Ma86WsVG87FC3
8hJ1duURNzqvLO3FbT8J+BW2luzawFBZDXouT4MesnukZYauZ70tXQ3lSqjjCg76ZvVuvQSD6RZO
DRjTAfx6niZAi9pTuzTXTRdzxftCAX1faPRju2wRHtYMhJkPOVJttTYs8qCk8nwLnrSXZMFwrPpi
lF2FdBC+tstI2moQrXwgRdaxvU8WAeqIfL5V69Kq9mbEAOyECug9G0Z8mQEcxX4bi8Ucs0Ks+uyD
myVnYmSWs5wAx+NYmpGHtiB3aII6Vg6QmWeUynpqC8FXJ9BNbkZ7CX0h7wIU7tMIsyfqp63lY9B2
rnXZ0R0r13HidmYFL4lRH9NsbC8W4W8bmhX2RI1bDd96sxV7BgS515Ft4qoXzdpUzMyk5CEb8Xjq
45aF/WqZbXnDAN2uyJT77Cxy6FgF1o1kR0/L9qMvtnU+zE40y1XjQywrqtSI6mJF9LYPAa6VKpqx
vyzAZDVfSjP13C4OHulUkq4ao9LlCRAt3YUOndK8YHhedrRf+yMKxTTVEFtkd2JD6f+04Bj5iKVq
9lHrxZxAtGPcya5EcCdzxxAnwoWHUcrMHNuAyRfHmuF9Jy2omPD+2Y4NDOdkdaTloGui3y1+mkJN
oS259GA+CTNOgg9bvvkKZMXS8axo2LltAf7iSjiHo4Rz0e1kEONSDyVKGote2DNeJ7dw5by+TARK
3nmV3+a9Zu/HcQ59NTVDdhIzlOdiXXPAR9i5j0XfwvtsluPnrYzsoqT6uFg0DVynpdG7xi9UcmvU
hB6UFznjEGg7VDNw8Z3q8fbcyW67Wijwa2VmK+GNn0U+8GA1Wneo39xy3IDorsq29NMxEKuHGrRL
92nKtuGmbHMw1L500dUNKLWtMorJwxClIxygjg28yAo87bTu6SWZeklrJ6LKeRszAS9mnDCBj6Ij
V97BmdSrtNFw3Hbq81RaFHZ5JMnaoci2CrqIitoOMuOkAM2HbDPNYcsXXXXB9s/GZTM3Xqq9aEj4
WC7p2g1jW+QHOPjuUzQi3RtXjtONsNRXhHT2ogdmeRgFayU30SQsMGU4K0LwrS9p8JyUuD3Oi+12
vYKm4y1YUHccwEDew06PF2NcxWeqkSx32zSZ5k4Hla88x3JpDmUc1v2MhPwSXDZE3soCLXwDcE7m
YYYHxQA+hS0nihPT24xLtmJOmpyZZ0elP2O/lbhqQrF9mKHon4bFLuV+MTiIg0wex9WdzkWVm3XZ
kUWs13Kw2akhCLd8Edas79yqGl9JGgOppemXsfJlN8AzQ407L8yZ+RAihoiPG3BtrTFhutqaZKsV
BcP4cWljftMvyFZlrrLPUDR5/75oxwzUa0gXhZe6BHWTWUrrPLnB4qnLIuYmgf6B+jWZp/y4qQx8
mWYDdwWy7Y4o7fflLIdajgXLEoR3uLZQpSWJUMORkZGmO1riMsG+FtN5iLHsH2yYMakgcdtuIUNz
38UMPIiok0QZWvNl11Oo1p0hbXsH5iYnfAZokbzIKckuyIbaR7Y0djkKBWZ9RXCzVYVIkFO1EHc7
hxRgfJv9fNsoLR5gkWCuXkSAU8ILVdoa0iFZYkn7rOWrKNf3ZdyGLeEVVA0fk+TVbnOE3ZkwZKgy
se+GSs29czWLS9oIotLdqwFlyQFsuZWVdIoNlcwSgzipAhGTRKHYrk9oVlYwV+FCTwockzFv2Wnu
oTiFYJ2qlsQPxiPKlG/200DLY29a9cxCOXzsZ2/vsmVSHQ+D2p40yYznNqeIJv8wF7ZOS0xdtczt
doI90fo4UlPOXKk4xKpjGyK8KF6F0KOZg1V37e2ot5gIgsf4sRi25OiKvncP0RbjlQVuJTXTQY+c
6ASt5Vzgki+56K4Ds+oeF3L5sEZbnnUUJd6DLNvu2w4UKxfFPC5Xutziw7KBwtdrq5M7EtoP7hjY
XLzkK4nHDgt43aySWm6z1RpuN70OvF/FZutiyQsOVZDNDYltiEcyt668jQVbFp6tubzKsC8/MRrp
XYuyiwG3KvB86u7nrlQXsN0mWTc9VAecQK5uxJIdW2UAL+bwpXVmqZRLmInAqPFn6rvCVAJtxcdJ
zfjr6JaGSxLso842KCs7LPoEwqp5whjBgRLtu0jauTLr3Io6+q6tloDUfTb0+RkOOUCHBfeMd4LJ
2pjWcweFUNXQRMnnTZSGk0GiKh+o5iFvtnM2bI3nQCB2T0zW6c8STuKSLXqtmJXbMXRgLhPGKcml
WzGsTNr0oRV2LXgB0XSYpFgvMrkKUgG2Trs+VzHfwVbl18uQ+afFEPFMViY/yTE+ZDA5Vo5aQVSV
L97uVXCk7iQDW6IeuRPcJyzyiXltaDmRfmJfhkw6cIC9Qdl5adsTJJEekG+KO4K2jlOt4INh2H2m
UI72GrfD8pUVeb8mbqBRd8Mm6U0t2zVje4o2XaFYuG4H4Grh0RIdvggkyueV9Gr5YJu1VwdmoX0e
KAb+bm1Qnu9QC/PyTDogpktVwiRGIco5crI07hkLswyJ3iC5nBpgCEveWaPIDbRdee57vLwbQLEt
tdJZ924tR4tPNrBuu8d+uF9Gp+2Z+mGJHJdrvIs57kGFN3kFp6COisYRVDL46eBlclmTmTpX5UQG
W6GhSdckEfHpVm1enrpCFOe+zdSxKVd8AwiRK++m1e6mEOaqsc7sSmBE8uWJgzx7gsN72udyN+cr
qnMrUGLRtviQZX0T+RpBMZ2K3rD+MfZT6Q4JaMuHqFryPC8DdlwQ39/M5Th8mINhVYvjCs9YR3M5
IpubygwCfkSAwA8scbXrcaLiUJpFkNp2nnUH2jFidgAFzEN0bqiwduQpOUhTJ5dV6CorMvxxasZH
5IdGVmExZuMCaffV6WH4CBV1GYelzLOKNnMiHJmK/YdBzOJhtbpwibsVkoPEF9+tgwm0SJY8oB+3
lQxVOWxmfZpI13OSkYTGjdqFxMkfYdhYNUf5rtUInjKEE/JPgeLyPOCiZEewwWW71NDouE/Zsrm9
VnbBqC7XLG95RmasjsiNbNunf12eMC9fZAVgX4i9Gma3H/MBh4t5K6aHcRh7Wikk0DvVaqhqRJIr
l1G7ex9HcZ9sfztuy4Yg10Vy83W/zfOtKhSpyhG7C2BGvEdZYgXKkBfCGBor13uceGPR0tPYjlF+
7AYnl6pErpG8cz4xwg0DeOXwMN+SNdRZ1zoe5lntBibDGXSl3WHAxmoZl896XtWwn8dNN5U0uS85
lpReD6Gc7tes2Q4CIfWjS7I99X3wusKs1/aosjJjte6IUjvAJNYVWbLsk5zYnJ3bzPUln3GXv1/x
wkDdtwTiqvOLfQKmyANvkqO9FuQ1OLP5qG3y3mV4p2JozN6qsk0qpNsnrOT6GaVdsLpdJYBVkeTt
aoLdeCDYh88DEhNI4ZgmN0pi8JAIbkLYdlsSWZ+9PDfYhpeuGeKexdycPGw2dVxKS65S0FA056F1
6EtrHa4NTOFMnUjGlldyK2dfbTqEzwHFxnHUE4KSFptdZwblqjJpbOK5xrrdpcsMB75uevmSri+7
HLWZHJcQJO++kF4cGymNqxdp9isYcsxjQ7sbBBIZ2jUDUPA8lrJh+xQRA1wLlbUpqkrhDatSkLsd
SqLRZzolB1Zt05ziVyIAETzOhukUKJUsvvfNCMkxm3DZ7tXYy+dl8PS0yBl+6kJf1KOk/qhdgvkN
Ya84jSxhjZ7szveTrjtaiJajLoXpVQxza3mH2PiZZENzI/KFHhj08oNXhSlqEZ3U+6Y17G7zkx3P
g0UNqMeyYQ1vRM92RRfKls+raBOhRCLxGir7cFO4opSVmFT5rEpcvMOjeC/L0htOW1Zy29sume6W
73GuwKHQoDjHEa68IEN/ckG523wZQO08Y36XfLMxu6jm8d43K+TYz3msVa/Gp3aSbNqXqJz8MZ96
8xqyT89u2pab4FsL09lArjm1QiQnHSJ4JNMKapP08JVost0vMjn4xEbZJZklu2udILyTzXpll+1C
5CWduKHWxWrolqMm7GmcE+HRTORcoX69WGWKktAADmNrEuNdGP64bfI5mVtIMlaUz0w9m0V1p7HB
XW1UkeTdJoYcILsmXebOHR3Thhbrbovkhvdq8uJz4hSd5Qn82DuiHwGidKeSHSWi3+NaRdrvILH0
pHvg3jVuAgdfLL5KwFlbO+IDVH3+PJsMHhvgyQk7fdz6AgnOZt3WLrh+33Yev/MQxot8K8CX0pP+
gi1ofZy9a2rS6K7bl1ME4Wi0ZWKXQHJ92mY2r7zXcKjGhhbnSQ+JdA0onb1a1mx4pJoVcbexgV7G
GfujDYnTa4bzQ9u69eiamML9xenbtcDxmlFCPaeriZdrWBIrLNZpe4ntqNuUMOpdRUlXPETK2GVE
rq3Y2JMUE5uiWp0GNUpM/sVkwR/8NHxzJj8O5ThDvlk6X40sgejEWttWDlPaHDpbiuME42EwhT70
kwwcYpeSH5q56X2iu0NKUMTRVeFbzBGcqIeR6q8FluWJervdr7HdPkEj2H1v4xw4kO1YDYjEkfdg
hpWiCS5T5uZArTmtSLiDNJDdzJrAdKBQZBWitk9kJ+vIHs+2qUQ+0cvFpPh0zsnw4+rBRQ5jrzmg
Ob03JZmOQ+fDnQEkJY6A7IpK9/rHwWDwYwM6V5vZ++sVr3BH+oj2jr6mz8a1dj2BVWI09FYOlO1o
rtTZAcQHHOcjDvl1kWheRYacXESKYCJS5VYjioddjyaaYuRFXfpRZLslOeM9K0Gid0x0lwmo2l26
MsXHPhuc4sIPQ9VjpDiC4iGavFwOCizhgbEw7tfRTsk+ypneFCIvGBcti1erydZdQtzILe7NPk5i
OG+bcOgiwNZNu5RNO8VGjp+ytgAPlA1TlmKVbXy/LWVie0Ljj0NowSHvNEha3cDRsaR/34tpl4+m
FechrImGrHKtF0pp4jmbzr+E3jyyLB0kWJjyBdPWvSwxbw4JH+z9sK1rokNNdm3wUOxIs36c2uRY
Z9j1tTDS2QMNdKlaE+6lNfm1o00H+ZTCgYmXMoU3vFmpugDa96cc+OIFTPg2axLtHkO2JULWxFtG
ItuFbIoVHE3GXxMnbcjsQYZ2OrGwpdxUtBv7wFBHP1GdVWCUyZOIWV3kw+QOMcUbuywmYnvdBBq/
bMrg91oH8HX1c5bigZLezps6tIxu07XLol6v5OJk4tSZPHabeRooROMuw2M4Juodv8qi7W71SNFx
WJZh50E3xTugG07m2O+XYoINj3GUiUltVKBEh/NsqHSrtrUqUtByB3CHI6c9TE6P/7Zk9btk9FMC
UK+E/Lle+Ovj3x5sl77falh/f/labvz709Uvdco/7XV4sa85+fGPnV7LCr/O9fdq2Wsq/9fS2R+K
Az9VNv+89dcc++vYb8n1B/vnpYl/1em3FYp/7PNfL1R8m+tbneTP5vhvlUxTSfbnqs2fSeE/1eln
zXwrWf/t3wEAAP//</cx:binary>
              </cx:geoCache>
            </cx:geography>
          </cx:layoutPr>
          <cx:valueColors>
            <cx:minColor>
              <a:srgbClr val="00B0F0"/>
            </cx:minColor>
            <cx:midColor>
              <a:schemeClr val="accent1">
                <a:lumMod val="75000"/>
              </a:schemeClr>
            </cx:midColor>
            <cx:maxColor>
              <a:schemeClr val="tx1"/>
            </cx:maxColor>
          </cx:valueColors>
          <cx:valueColorPositions count="3"/>
        </cx:series>
      </cx:plotAreaRegion>
    </cx:plotArea>
    <cx:legend pos="r" align="min" overlay="0"/>
  </cx:chart>
  <cx:spPr>
    <a:gradFill>
      <a:gsLst>
        <a:gs pos="0">
          <a:schemeClr val="accent4">
            <a:lumMod val="40000"/>
            <a:lumOff val="60000"/>
          </a:schemeClr>
        </a:gs>
        <a:gs pos="100000">
          <a:schemeClr val="accent4"/>
        </a:gs>
      </a:gsLst>
      <a:lin ang="4200000" scaled="0"/>
    </a:gra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1.xml"/><Relationship Id="rId13" Type="http://schemas.microsoft.com/office/2014/relationships/chartEx" Target="../charts/chartEx4.xml"/><Relationship Id="rId3" Type="http://schemas.openxmlformats.org/officeDocument/2006/relationships/image" Target="../media/image2.emf"/><Relationship Id="rId7" Type="http://schemas.openxmlformats.org/officeDocument/2006/relationships/chart" Target="../charts/chart10.xml"/><Relationship Id="rId12" Type="http://schemas.openxmlformats.org/officeDocument/2006/relationships/chart" Target="../charts/chart13.xml"/><Relationship Id="rId2" Type="http://schemas.openxmlformats.org/officeDocument/2006/relationships/chart" Target="../charts/chart8.xml"/><Relationship Id="rId16" Type="http://schemas.openxmlformats.org/officeDocument/2006/relationships/hyperlink" Target="https://freepngimg.com/png/65862-televisions-sales-e-commerce-vu-logo-flipkart-gmail" TargetMode="External"/><Relationship Id="rId1" Type="http://schemas.openxmlformats.org/officeDocument/2006/relationships/image" Target="../media/image1.emf"/><Relationship Id="rId6" Type="http://schemas.openxmlformats.org/officeDocument/2006/relationships/chart" Target="../charts/chart9.xml"/><Relationship Id="rId11" Type="http://schemas.microsoft.com/office/2014/relationships/chartEx" Target="../charts/chartEx3.xml"/><Relationship Id="rId5" Type="http://schemas.openxmlformats.org/officeDocument/2006/relationships/image" Target="../media/image4.emf"/><Relationship Id="rId15" Type="http://schemas.openxmlformats.org/officeDocument/2006/relationships/image" Target="../media/image6.png"/><Relationship Id="rId10" Type="http://schemas.openxmlformats.org/officeDocument/2006/relationships/image" Target="../media/image5.emf"/><Relationship Id="rId4" Type="http://schemas.openxmlformats.org/officeDocument/2006/relationships/image" Target="../media/image3.emf"/><Relationship Id="rId9" Type="http://schemas.openxmlformats.org/officeDocument/2006/relationships/chart" Target="../charts/chart12.xml"/><Relationship Id="rId14" Type="http://schemas.openxmlformats.org/officeDocument/2006/relationships/chart" Target="../charts/chart14.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8.emf"/><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6</xdr:col>
      <xdr:colOff>487680</xdr:colOff>
      <xdr:row>10</xdr:row>
      <xdr:rowOff>15240</xdr:rowOff>
    </xdr:from>
    <xdr:to>
      <xdr:col>14</xdr:col>
      <xdr:colOff>182880</xdr:colOff>
      <xdr:row>25</xdr:row>
      <xdr:rowOff>15240</xdr:rowOff>
    </xdr:to>
    <xdr:graphicFrame macro="">
      <xdr:nvGraphicFramePr>
        <xdr:cNvPr id="2" name="Chart 1">
          <a:extLst>
            <a:ext uri="{FF2B5EF4-FFF2-40B4-BE49-F238E27FC236}">
              <a16:creationId xmlns:a16="http://schemas.microsoft.com/office/drawing/2014/main" id="{6043A65F-77C9-8B7A-74E5-939448E6B5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60960</xdr:colOff>
      <xdr:row>10</xdr:row>
      <xdr:rowOff>3810</xdr:rowOff>
    </xdr:from>
    <xdr:to>
      <xdr:col>13</xdr:col>
      <xdr:colOff>121920</xdr:colOff>
      <xdr:row>25</xdr:row>
      <xdr:rowOff>3810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C61AD248-EC49-CAC8-ECEF-C08C5D8337B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718560" y="1832610"/>
              <a:ext cx="538734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335280</xdr:colOff>
      <xdr:row>10</xdr:row>
      <xdr:rowOff>167640</xdr:rowOff>
    </xdr:from>
    <xdr:to>
      <xdr:col>11</xdr:col>
      <xdr:colOff>358140</xdr:colOff>
      <xdr:row>25</xdr:row>
      <xdr:rowOff>167640</xdr:rowOff>
    </xdr:to>
    <xdr:graphicFrame macro="">
      <xdr:nvGraphicFramePr>
        <xdr:cNvPr id="2" name="Chart 1">
          <a:extLst>
            <a:ext uri="{FF2B5EF4-FFF2-40B4-BE49-F238E27FC236}">
              <a16:creationId xmlns:a16="http://schemas.microsoft.com/office/drawing/2014/main" id="{BC2AC1CE-C26B-3125-F421-0DAEE42955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91440</xdr:colOff>
      <xdr:row>12</xdr:row>
      <xdr:rowOff>15240</xdr:rowOff>
    </xdr:from>
    <xdr:to>
      <xdr:col>13</xdr:col>
      <xdr:colOff>472440</xdr:colOff>
      <xdr:row>27</xdr:row>
      <xdr:rowOff>15240</xdr:rowOff>
    </xdr:to>
    <xdr:graphicFrame macro="">
      <xdr:nvGraphicFramePr>
        <xdr:cNvPr id="2" name="Chart 1">
          <a:extLst>
            <a:ext uri="{FF2B5EF4-FFF2-40B4-BE49-F238E27FC236}">
              <a16:creationId xmlns:a16="http://schemas.microsoft.com/office/drawing/2014/main" id="{39422E95-5764-0680-B9C2-89BA441293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575828</xdr:colOff>
      <xdr:row>13</xdr:row>
      <xdr:rowOff>91787</xdr:rowOff>
    </xdr:from>
    <xdr:to>
      <xdr:col>16</xdr:col>
      <xdr:colOff>298737</xdr:colOff>
      <xdr:row>28</xdr:row>
      <xdr:rowOff>107374</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27C9A280-CA74-4516-BA21-503CD34C686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113788" y="2469227"/>
              <a:ext cx="4599709" cy="275878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35035</xdr:colOff>
      <xdr:row>15</xdr:row>
      <xdr:rowOff>36611</xdr:rowOff>
    </xdr:from>
    <xdr:to>
      <xdr:col>3</xdr:col>
      <xdr:colOff>1129862</xdr:colOff>
      <xdr:row>18</xdr:row>
      <xdr:rowOff>174823</xdr:rowOff>
    </xdr:to>
    <xdr:graphicFrame macro="">
      <xdr:nvGraphicFramePr>
        <xdr:cNvPr id="2" name="Chart 1">
          <a:extLst>
            <a:ext uri="{FF2B5EF4-FFF2-40B4-BE49-F238E27FC236}">
              <a16:creationId xmlns:a16="http://schemas.microsoft.com/office/drawing/2014/main" id="{18FEAB27-3F64-DD6A-118E-DDA4A70379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586828</xdr:colOff>
      <xdr:row>15</xdr:row>
      <xdr:rowOff>122664</xdr:rowOff>
    </xdr:from>
    <xdr:to>
      <xdr:col>6</xdr:col>
      <xdr:colOff>805793</xdr:colOff>
      <xdr:row>18</xdr:row>
      <xdr:rowOff>166412</xdr:rowOff>
    </xdr:to>
    <xdr:graphicFrame macro="">
      <xdr:nvGraphicFramePr>
        <xdr:cNvPr id="3" name="Chart 2">
          <a:extLst>
            <a:ext uri="{FF2B5EF4-FFF2-40B4-BE49-F238E27FC236}">
              <a16:creationId xmlns:a16="http://schemas.microsoft.com/office/drawing/2014/main" id="{9924F69F-793C-322A-A48E-0DE9949DB1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595587</xdr:colOff>
      <xdr:row>15</xdr:row>
      <xdr:rowOff>25925</xdr:rowOff>
    </xdr:from>
    <xdr:to>
      <xdr:col>10</xdr:col>
      <xdr:colOff>998483</xdr:colOff>
      <xdr:row>19</xdr:row>
      <xdr:rowOff>17517</xdr:rowOff>
    </xdr:to>
    <xdr:graphicFrame macro="">
      <xdr:nvGraphicFramePr>
        <xdr:cNvPr id="4" name="Chart 3">
          <a:extLst>
            <a:ext uri="{FF2B5EF4-FFF2-40B4-BE49-F238E27FC236}">
              <a16:creationId xmlns:a16="http://schemas.microsoft.com/office/drawing/2014/main" id="{001213A4-C90D-CC46-95BE-ADB8F1C051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140138</xdr:colOff>
      <xdr:row>15</xdr:row>
      <xdr:rowOff>13401</xdr:rowOff>
    </xdr:from>
    <xdr:to>
      <xdr:col>13</xdr:col>
      <xdr:colOff>1243724</xdr:colOff>
      <xdr:row>19</xdr:row>
      <xdr:rowOff>87586</xdr:rowOff>
    </xdr:to>
    <xdr:graphicFrame macro="">
      <xdr:nvGraphicFramePr>
        <xdr:cNvPr id="5" name="Chart 4">
          <a:extLst>
            <a:ext uri="{FF2B5EF4-FFF2-40B4-BE49-F238E27FC236}">
              <a16:creationId xmlns:a16="http://schemas.microsoft.com/office/drawing/2014/main" id="{7375EE97-F6CD-0631-6518-C67B695DBE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236220</xdr:colOff>
      <xdr:row>0</xdr:row>
      <xdr:rowOff>99060</xdr:rowOff>
    </xdr:from>
    <xdr:to>
      <xdr:col>23</xdr:col>
      <xdr:colOff>175260</xdr:colOff>
      <xdr:row>3</xdr:row>
      <xdr:rowOff>76200</xdr:rowOff>
    </xdr:to>
    <xdr:sp macro="" textlink="">
      <xdr:nvSpPr>
        <xdr:cNvPr id="5" name="Rectangle: Rounded Corners 4">
          <a:extLst>
            <a:ext uri="{FF2B5EF4-FFF2-40B4-BE49-F238E27FC236}">
              <a16:creationId xmlns:a16="http://schemas.microsoft.com/office/drawing/2014/main" id="{54CC57A2-4D34-EEB4-9438-2D56BACE20DB}"/>
            </a:ext>
          </a:extLst>
        </xdr:cNvPr>
        <xdr:cNvSpPr/>
      </xdr:nvSpPr>
      <xdr:spPr>
        <a:xfrm>
          <a:off x="236220" y="99060"/>
          <a:ext cx="13947277" cy="526108"/>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aseline="0">
              <a:solidFill>
                <a:schemeClr val="accent4"/>
              </a:solidFill>
              <a:latin typeface="Lato Black" panose="020F0502020204030203" pitchFamily="34" charset="0"/>
              <a:ea typeface="Lato Black" panose="020F0502020204030203" pitchFamily="34" charset="0"/>
              <a:cs typeface="Lato Black" panose="020F0502020204030203" pitchFamily="34" charset="0"/>
            </a:rPr>
            <a:t>FLIPKART SALES ANALYSIS </a:t>
          </a:r>
          <a:r>
            <a:rPr lang="en-US" sz="3200" baseline="0">
              <a:solidFill>
                <a:schemeClr val="accent4"/>
              </a:solidFill>
              <a:latin typeface="Lato Black" panose="020F0502020204030204" pitchFamily="34" charset="0"/>
              <a:ea typeface="Lato Black" panose="020F0502020204030204" pitchFamily="34" charset="0"/>
              <a:cs typeface="Lato Black" panose="020F0502020204030204" pitchFamily="34" charset="0"/>
            </a:rPr>
            <a:t>DASHBOARD</a:t>
          </a:r>
          <a:r>
            <a:rPr lang="en-US" sz="3200" baseline="0">
              <a:solidFill>
                <a:schemeClr val="accent4"/>
              </a:solidFill>
            </a:rPr>
            <a:t> </a:t>
          </a:r>
          <a:endParaRPr lang="en-US" sz="3200">
            <a:solidFill>
              <a:schemeClr val="accent4"/>
            </a:solidFill>
          </a:endParaRPr>
        </a:p>
      </xdr:txBody>
    </xdr:sp>
    <xdr:clientData/>
  </xdr:twoCellAnchor>
  <mc:AlternateContent xmlns:mc="http://schemas.openxmlformats.org/markup-compatibility/2006">
    <mc:Choice xmlns:a14="http://schemas.microsoft.com/office/drawing/2010/main" Requires="a14">
      <xdr:twoCellAnchor editAs="oneCell">
        <xdr:from>
          <xdr:col>3</xdr:col>
          <xdr:colOff>329885</xdr:colOff>
          <xdr:row>13</xdr:row>
          <xdr:rowOff>181538</xdr:rowOff>
        </xdr:from>
        <xdr:to>
          <xdr:col>5</xdr:col>
          <xdr:colOff>241720</xdr:colOff>
          <xdr:row>15</xdr:row>
          <xdr:rowOff>111886</xdr:rowOff>
        </xdr:to>
        <xdr:pic>
          <xdr:nvPicPr>
            <xdr:cNvPr id="21" name="Picture 20">
              <a:extLst>
                <a:ext uri="{FF2B5EF4-FFF2-40B4-BE49-F238E27FC236}">
                  <a16:creationId xmlns:a16="http://schemas.microsoft.com/office/drawing/2014/main" id="{00949BC5-8701-24A5-C262-62630B248618}"/>
                </a:ext>
              </a:extLst>
            </xdr:cNvPr>
            <xdr:cNvPicPr>
              <a:picLocks noChangeAspect="1" noChangeArrowheads="1"/>
              <a:extLst>
                <a:ext uri="{84589F7E-364E-4C9E-8A38-B11213B215E9}">
                  <a14:cameraTool cellRange="'KPI MOM'!$K$13" spid="_x0000_s15477"/>
                </a:ext>
              </a:extLst>
            </xdr:cNvPicPr>
          </xdr:nvPicPr>
          <xdr:blipFill>
            <a:blip xmlns:r="http://schemas.openxmlformats.org/officeDocument/2006/relationships" r:embed="rId1"/>
            <a:srcRect/>
            <a:stretch>
              <a:fillRect/>
            </a:stretch>
          </xdr:blipFill>
          <xdr:spPr bwMode="auto">
            <a:xfrm>
              <a:off x="2151810" y="2564936"/>
              <a:ext cx="1126451" cy="297025"/>
            </a:xfrm>
            <a:prstGeom prst="rect">
              <a:avLst/>
            </a:prstGeom>
            <a:noFill/>
            <a:ln>
              <a:solidFill>
                <a:schemeClr val="tx1"/>
              </a:solidFill>
            </a:ln>
            <a:extLst>
              <a:ext uri="{909E8E84-426E-40DD-AFC4-6F175D3DCCD1}">
                <a14:hiddenFill>
                  <a:solidFill>
                    <a:srgbClr val="FFFFFF"/>
                  </a:solidFill>
                </a14:hiddenFill>
              </a:ext>
            </a:extLst>
          </xdr:spPr>
        </xdr:pic>
        <xdr:clientData/>
      </xdr:twoCellAnchor>
    </mc:Choice>
    <mc:Fallback/>
  </mc:AlternateContent>
  <xdr:twoCellAnchor>
    <xdr:from>
      <xdr:col>0</xdr:col>
      <xdr:colOff>222693</xdr:colOff>
      <xdr:row>4</xdr:row>
      <xdr:rowOff>23554</xdr:rowOff>
    </xdr:from>
    <xdr:to>
      <xdr:col>23</xdr:col>
      <xdr:colOff>176498</xdr:colOff>
      <xdr:row>16</xdr:row>
      <xdr:rowOff>113270</xdr:rowOff>
    </xdr:to>
    <xdr:grpSp>
      <xdr:nvGrpSpPr>
        <xdr:cNvPr id="54" name="Group 53">
          <a:extLst>
            <a:ext uri="{FF2B5EF4-FFF2-40B4-BE49-F238E27FC236}">
              <a16:creationId xmlns:a16="http://schemas.microsoft.com/office/drawing/2014/main" id="{B933E513-E3E0-A8FB-003B-3C1990CB1CC5}"/>
            </a:ext>
          </a:extLst>
        </xdr:cNvPr>
        <xdr:cNvGrpSpPr/>
      </xdr:nvGrpSpPr>
      <xdr:grpSpPr>
        <a:xfrm>
          <a:off x="222693" y="743990"/>
          <a:ext cx="13974605" cy="2251025"/>
          <a:chOff x="222710" y="734754"/>
          <a:chExt cx="13974588" cy="2223248"/>
        </a:xfrm>
      </xdr:grpSpPr>
      <xdr:grpSp>
        <xdr:nvGrpSpPr>
          <xdr:cNvPr id="27" name="Group 26">
            <a:extLst>
              <a:ext uri="{FF2B5EF4-FFF2-40B4-BE49-F238E27FC236}">
                <a16:creationId xmlns:a16="http://schemas.microsoft.com/office/drawing/2014/main" id="{9351A6D1-CCCF-B48A-C5FA-8DEE9FE34277}"/>
              </a:ext>
            </a:extLst>
          </xdr:cNvPr>
          <xdr:cNvGrpSpPr/>
        </xdr:nvGrpSpPr>
        <xdr:grpSpPr>
          <a:xfrm>
            <a:off x="222710" y="747129"/>
            <a:ext cx="3503387" cy="2200978"/>
            <a:chOff x="211990" y="789888"/>
            <a:chExt cx="2925649" cy="1966574"/>
          </a:xfrm>
        </xdr:grpSpPr>
        <xdr:sp macro="" textlink="">
          <xdr:nvSpPr>
            <xdr:cNvPr id="14" name="Rectangle: Rounded Corners 13">
              <a:extLst>
                <a:ext uri="{FF2B5EF4-FFF2-40B4-BE49-F238E27FC236}">
                  <a16:creationId xmlns:a16="http://schemas.microsoft.com/office/drawing/2014/main" id="{980E26EB-48F3-7A8F-541E-BE829EC60576}"/>
                </a:ext>
              </a:extLst>
            </xdr:cNvPr>
            <xdr:cNvSpPr/>
          </xdr:nvSpPr>
          <xdr:spPr>
            <a:xfrm>
              <a:off x="247402" y="789888"/>
              <a:ext cx="2862647" cy="444426"/>
            </a:xfrm>
            <a:prstGeom prst="roundRect">
              <a:avLst/>
            </a:prstGeom>
            <a:gradFill>
              <a:gsLst>
                <a:gs pos="0">
                  <a:schemeClr val="accent4">
                    <a:lumMod val="20000"/>
                    <a:lumOff val="80000"/>
                  </a:schemeClr>
                </a:gs>
                <a:gs pos="100000">
                  <a:schemeClr val="accent4"/>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chemeClr val="tx1"/>
                  </a:solidFill>
                  <a:latin typeface="Lato Black" panose="020F0502020204030203" pitchFamily="34" charset="0"/>
                  <a:ea typeface="Lato Black" panose="020F0502020204030203" pitchFamily="34" charset="0"/>
                  <a:cs typeface="Lato Black" panose="020F0502020204030203" pitchFamily="34" charset="0"/>
                </a:rPr>
                <a:t>SALES</a:t>
              </a:r>
            </a:p>
          </xdr:txBody>
        </xdr:sp>
        <xdr:sp macro="" textlink="">
          <xdr:nvSpPr>
            <xdr:cNvPr id="15" name="Rectangle: Rounded Corners 14">
              <a:extLst>
                <a:ext uri="{FF2B5EF4-FFF2-40B4-BE49-F238E27FC236}">
                  <a16:creationId xmlns:a16="http://schemas.microsoft.com/office/drawing/2014/main" id="{8277BD58-BC00-F9AB-CEE1-79576FFD142A}"/>
                </a:ext>
              </a:extLst>
            </xdr:cNvPr>
            <xdr:cNvSpPr/>
          </xdr:nvSpPr>
          <xdr:spPr>
            <a:xfrm>
              <a:off x="211990" y="1302488"/>
              <a:ext cx="2925649" cy="1453974"/>
            </a:xfrm>
            <a:prstGeom prst="roundRect">
              <a:avLst/>
            </a:prstGeom>
            <a:gradFill>
              <a:gsLst>
                <a:gs pos="0">
                  <a:schemeClr val="accent4">
                    <a:lumMod val="20000"/>
                    <a:lumOff val="80000"/>
                  </a:schemeClr>
                </a:gs>
                <a:gs pos="100000">
                  <a:schemeClr val="accent4"/>
                </a:gs>
              </a:gsLst>
              <a:lin ang="600000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ln>
                    <a:noFill/>
                  </a:ln>
                  <a:noFill/>
                </a:rPr>
                <a:t> </a:t>
              </a:r>
            </a:p>
          </xdr:txBody>
        </xdr:sp>
        <xdr:sp macro="" textlink="KPI!$D$15">
          <xdr:nvSpPr>
            <xdr:cNvPr id="16" name="Rectangle: Rounded Corners 15">
              <a:extLst>
                <a:ext uri="{FF2B5EF4-FFF2-40B4-BE49-F238E27FC236}">
                  <a16:creationId xmlns:a16="http://schemas.microsoft.com/office/drawing/2014/main" id="{B415CB6F-D86D-2735-81E4-50D5DF9A8931}"/>
                </a:ext>
              </a:extLst>
            </xdr:cNvPr>
            <xdr:cNvSpPr/>
          </xdr:nvSpPr>
          <xdr:spPr>
            <a:xfrm>
              <a:off x="544286" y="1357566"/>
              <a:ext cx="2344476" cy="362287"/>
            </a:xfrm>
            <a:prstGeom prst="roundRect">
              <a:avLst/>
            </a:prstGeom>
            <a:gradFill>
              <a:gsLst>
                <a:gs pos="0">
                  <a:schemeClr val="accent4">
                    <a:lumMod val="40000"/>
                    <a:lumOff val="60000"/>
                  </a:schemeClr>
                </a:gs>
                <a:gs pos="100000">
                  <a:schemeClr val="accent4"/>
                </a:gs>
              </a:gsLst>
              <a:lin ang="4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7F635DD-82B1-4659-97F6-D85EF92A548E}" type="TxLink">
                <a:rPr lang="en-US" sz="20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ctr"/>
                <a:t>9,78,000 ₹</a:t>
              </a:fld>
              <a:endParaRPr lang="en-US" sz="20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18" name="Rectangle: Rounded Corners 17">
              <a:extLst>
                <a:ext uri="{FF2B5EF4-FFF2-40B4-BE49-F238E27FC236}">
                  <a16:creationId xmlns:a16="http://schemas.microsoft.com/office/drawing/2014/main" id="{BA7F994E-4D57-F293-13B0-0983AE1F457A}"/>
                </a:ext>
              </a:extLst>
            </xdr:cNvPr>
            <xdr:cNvSpPr/>
          </xdr:nvSpPr>
          <xdr:spPr>
            <a:xfrm>
              <a:off x="538871" y="2321525"/>
              <a:ext cx="2342432" cy="320432"/>
            </a:xfrm>
            <a:prstGeom prst="roundRect">
              <a:avLst/>
            </a:prstGeom>
            <a:gradFill>
              <a:gsLst>
                <a:gs pos="0">
                  <a:schemeClr val="accent4">
                    <a:lumMod val="40000"/>
                    <a:lumOff val="60000"/>
                  </a:schemeClr>
                </a:gs>
                <a:gs pos="100000">
                  <a:schemeClr val="accent4"/>
                </a:gs>
              </a:gsLst>
              <a:lin ang="4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1"/>
                  </a:solidFill>
                  <a:latin typeface="Lato Black" panose="020F0502020204030203" pitchFamily="34" charset="0"/>
                  <a:ea typeface="Lato Black" panose="020F0502020204030203" pitchFamily="34" charset="0"/>
                  <a:cs typeface="Lato Black" panose="020F0502020204030203" pitchFamily="34" charset="0"/>
                </a:rPr>
                <a:t>MOM GROWTH</a:t>
              </a:r>
            </a:p>
          </xdr:txBody>
        </xdr:sp>
        <xdr:graphicFrame macro="">
          <xdr:nvGraphicFramePr>
            <xdr:cNvPr id="19" name="Chart 18">
              <a:extLst>
                <a:ext uri="{FF2B5EF4-FFF2-40B4-BE49-F238E27FC236}">
                  <a16:creationId xmlns:a16="http://schemas.microsoft.com/office/drawing/2014/main" id="{3C712DD7-5A50-4501-A0E4-B36D095E8BEE}"/>
                </a:ext>
              </a:extLst>
            </xdr:cNvPr>
            <xdr:cNvGraphicFramePr>
              <a:graphicFrameLocks/>
            </xdr:cNvGraphicFramePr>
          </xdr:nvGraphicFramePr>
          <xdr:xfrm>
            <a:off x="597089" y="1762369"/>
            <a:ext cx="2238722" cy="504239"/>
          </xdr:xfrm>
          <a:graphic>
            <a:graphicData uri="http://schemas.openxmlformats.org/drawingml/2006/chart">
              <c:chart xmlns:c="http://schemas.openxmlformats.org/drawingml/2006/chart" xmlns:r="http://schemas.openxmlformats.org/officeDocument/2006/relationships" r:id="rId2"/>
            </a:graphicData>
          </a:graphic>
        </xdr:graphicFrame>
      </xdr:grpSp>
      <xdr:grpSp>
        <xdr:nvGrpSpPr>
          <xdr:cNvPr id="28" name="Group 27">
            <a:extLst>
              <a:ext uri="{FF2B5EF4-FFF2-40B4-BE49-F238E27FC236}">
                <a16:creationId xmlns:a16="http://schemas.microsoft.com/office/drawing/2014/main" id="{A7AD4ED5-42FB-67F3-6AD3-0A00067C1DEE}"/>
              </a:ext>
            </a:extLst>
          </xdr:cNvPr>
          <xdr:cNvGrpSpPr/>
        </xdr:nvGrpSpPr>
        <xdr:grpSpPr>
          <a:xfrm>
            <a:off x="3837557" y="749798"/>
            <a:ext cx="3363343" cy="2197579"/>
            <a:chOff x="207817" y="789888"/>
            <a:chExt cx="2925649" cy="1932752"/>
          </a:xfrm>
        </xdr:grpSpPr>
        <xdr:sp macro="" textlink="">
          <xdr:nvSpPr>
            <xdr:cNvPr id="29" name="Rectangle: Rounded Corners 28">
              <a:extLst>
                <a:ext uri="{FF2B5EF4-FFF2-40B4-BE49-F238E27FC236}">
                  <a16:creationId xmlns:a16="http://schemas.microsoft.com/office/drawing/2014/main" id="{02B445D7-34E8-0A41-54E4-A1922A9B48FE}"/>
                </a:ext>
              </a:extLst>
            </xdr:cNvPr>
            <xdr:cNvSpPr/>
          </xdr:nvSpPr>
          <xdr:spPr>
            <a:xfrm>
              <a:off x="247403" y="789888"/>
              <a:ext cx="2841105" cy="444426"/>
            </a:xfrm>
            <a:prstGeom prst="roundRect">
              <a:avLst/>
            </a:prstGeom>
            <a:gradFill>
              <a:gsLst>
                <a:gs pos="0">
                  <a:schemeClr val="accent4">
                    <a:lumMod val="20000"/>
                    <a:lumOff val="80000"/>
                  </a:schemeClr>
                </a:gs>
                <a:gs pos="100000">
                  <a:schemeClr val="accent4"/>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chemeClr val="tx1"/>
                  </a:solidFill>
                  <a:latin typeface="Lato Black" panose="020F0502020204030203" pitchFamily="34" charset="0"/>
                  <a:ea typeface="Lato Black" panose="020F0502020204030203" pitchFamily="34" charset="0"/>
                  <a:cs typeface="Lato Black" panose="020F0502020204030203" pitchFamily="34" charset="0"/>
                </a:rPr>
                <a:t>PROFIT</a:t>
              </a:r>
            </a:p>
          </xdr:txBody>
        </xdr:sp>
        <xdr:sp macro="" textlink="">
          <xdr:nvSpPr>
            <xdr:cNvPr id="30" name="Rectangle: Rounded Corners 29">
              <a:extLst>
                <a:ext uri="{FF2B5EF4-FFF2-40B4-BE49-F238E27FC236}">
                  <a16:creationId xmlns:a16="http://schemas.microsoft.com/office/drawing/2014/main" id="{7FDD322D-62A3-2498-9EA7-DDD8C1D90A87}"/>
                </a:ext>
              </a:extLst>
            </xdr:cNvPr>
            <xdr:cNvSpPr/>
          </xdr:nvSpPr>
          <xdr:spPr>
            <a:xfrm>
              <a:off x="207817" y="1298189"/>
              <a:ext cx="2925649" cy="1424451"/>
            </a:xfrm>
            <a:prstGeom prst="roundRect">
              <a:avLst/>
            </a:prstGeom>
            <a:gradFill>
              <a:gsLst>
                <a:gs pos="0">
                  <a:schemeClr val="accent4">
                    <a:lumMod val="20000"/>
                    <a:lumOff val="80000"/>
                  </a:schemeClr>
                </a:gs>
                <a:gs pos="100000">
                  <a:schemeClr val="accent4"/>
                </a:gs>
              </a:gsLst>
              <a:lin ang="600000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ln>
                    <a:noFill/>
                  </a:ln>
                  <a:noFill/>
                </a:rPr>
                <a:t> </a:t>
              </a:r>
            </a:p>
          </xdr:txBody>
        </xdr:sp>
        <xdr:sp macro="" textlink="KPI!$G$15">
          <xdr:nvSpPr>
            <xdr:cNvPr id="31" name="Rectangle: Rounded Corners 30">
              <a:extLst>
                <a:ext uri="{FF2B5EF4-FFF2-40B4-BE49-F238E27FC236}">
                  <a16:creationId xmlns:a16="http://schemas.microsoft.com/office/drawing/2014/main" id="{6E3076E0-7975-A2C6-F957-55813AF19C61}"/>
                </a:ext>
              </a:extLst>
            </xdr:cNvPr>
            <xdr:cNvSpPr/>
          </xdr:nvSpPr>
          <xdr:spPr>
            <a:xfrm>
              <a:off x="544286" y="1357566"/>
              <a:ext cx="2344476" cy="362287"/>
            </a:xfrm>
            <a:prstGeom prst="roundRect">
              <a:avLst/>
            </a:prstGeom>
            <a:gradFill>
              <a:gsLst>
                <a:gs pos="0">
                  <a:schemeClr val="accent4">
                    <a:lumMod val="40000"/>
                    <a:lumOff val="60000"/>
                  </a:schemeClr>
                </a:gs>
                <a:gs pos="100000">
                  <a:schemeClr val="accent4"/>
                </a:gs>
              </a:gsLst>
              <a:lin ang="4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BFF4FCA-5CF3-4A28-8660-87B2B2156AA1}" type="TxLink">
                <a:rPr lang="en-US" sz="20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ctr"/>
                <a:t>1,31,500 ₹</a:t>
              </a:fld>
              <a:endParaRPr lang="en-US" sz="20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32" name="Rectangle: Rounded Corners 31">
              <a:extLst>
                <a:ext uri="{FF2B5EF4-FFF2-40B4-BE49-F238E27FC236}">
                  <a16:creationId xmlns:a16="http://schemas.microsoft.com/office/drawing/2014/main" id="{C27DD3B5-8A10-040D-57CA-2D9B54A11A84}"/>
                </a:ext>
              </a:extLst>
            </xdr:cNvPr>
            <xdr:cNvSpPr/>
          </xdr:nvSpPr>
          <xdr:spPr>
            <a:xfrm>
              <a:off x="538871" y="2321525"/>
              <a:ext cx="2342432" cy="320432"/>
            </a:xfrm>
            <a:prstGeom prst="roundRect">
              <a:avLst/>
            </a:prstGeom>
            <a:gradFill>
              <a:gsLst>
                <a:gs pos="0">
                  <a:schemeClr val="accent4">
                    <a:lumMod val="40000"/>
                    <a:lumOff val="60000"/>
                  </a:schemeClr>
                </a:gs>
                <a:gs pos="100000">
                  <a:schemeClr val="accent4"/>
                </a:gs>
              </a:gsLst>
              <a:lin ang="4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tx1"/>
                  </a:solidFill>
                  <a:latin typeface="Lato Black" panose="020F0502020204030203" pitchFamily="34" charset="0"/>
                  <a:ea typeface="Lato Black" panose="020F0502020204030203" pitchFamily="34" charset="0"/>
                  <a:cs typeface="Lato Black" panose="020F0502020204030203" pitchFamily="34" charset="0"/>
                </a:rPr>
                <a:t>MOM GROWTH</a:t>
              </a:r>
            </a:p>
          </xdr:txBody>
        </xdr:sp>
      </xdr:grpSp>
      <xdr:grpSp>
        <xdr:nvGrpSpPr>
          <xdr:cNvPr id="34" name="Group 33">
            <a:extLst>
              <a:ext uri="{FF2B5EF4-FFF2-40B4-BE49-F238E27FC236}">
                <a16:creationId xmlns:a16="http://schemas.microsoft.com/office/drawing/2014/main" id="{E78722C3-E8CF-D460-2614-CA8E7141368E}"/>
              </a:ext>
            </a:extLst>
          </xdr:cNvPr>
          <xdr:cNvGrpSpPr/>
        </xdr:nvGrpSpPr>
        <xdr:grpSpPr>
          <a:xfrm>
            <a:off x="7305834" y="750858"/>
            <a:ext cx="3434132" cy="2207144"/>
            <a:chOff x="207817" y="789888"/>
            <a:chExt cx="2925649" cy="1944215"/>
          </a:xfrm>
        </xdr:grpSpPr>
        <xdr:sp macro="" textlink="">
          <xdr:nvSpPr>
            <xdr:cNvPr id="35" name="Rectangle: Rounded Corners 34">
              <a:extLst>
                <a:ext uri="{FF2B5EF4-FFF2-40B4-BE49-F238E27FC236}">
                  <a16:creationId xmlns:a16="http://schemas.microsoft.com/office/drawing/2014/main" id="{BED74753-CD92-FEF4-D8C2-27BD0ABD26DF}"/>
                </a:ext>
              </a:extLst>
            </xdr:cNvPr>
            <xdr:cNvSpPr/>
          </xdr:nvSpPr>
          <xdr:spPr>
            <a:xfrm>
              <a:off x="247404" y="789888"/>
              <a:ext cx="2841818" cy="444426"/>
            </a:xfrm>
            <a:prstGeom prst="roundRect">
              <a:avLst/>
            </a:prstGeom>
            <a:gradFill>
              <a:gsLst>
                <a:gs pos="0">
                  <a:schemeClr val="accent4">
                    <a:lumMod val="20000"/>
                    <a:lumOff val="80000"/>
                  </a:schemeClr>
                </a:gs>
                <a:gs pos="100000">
                  <a:schemeClr val="accent4"/>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chemeClr val="tx1"/>
                  </a:solidFill>
                  <a:latin typeface="Lato Black" panose="020F0502020204030203" pitchFamily="34" charset="0"/>
                  <a:ea typeface="Lato Black" panose="020F0502020204030203" pitchFamily="34" charset="0"/>
                  <a:cs typeface="Lato Black" panose="020F0502020204030203" pitchFamily="34" charset="0"/>
                </a:rPr>
                <a:t>QUANTITY</a:t>
              </a:r>
            </a:p>
          </xdr:txBody>
        </xdr:sp>
        <xdr:sp macro="" textlink="">
          <xdr:nvSpPr>
            <xdr:cNvPr id="36" name="Rectangle: Rounded Corners 35">
              <a:extLst>
                <a:ext uri="{FF2B5EF4-FFF2-40B4-BE49-F238E27FC236}">
                  <a16:creationId xmlns:a16="http://schemas.microsoft.com/office/drawing/2014/main" id="{65E7C85D-0C19-E4B9-0080-2D5F3DDA9AA5}"/>
                </a:ext>
              </a:extLst>
            </xdr:cNvPr>
            <xdr:cNvSpPr/>
          </xdr:nvSpPr>
          <xdr:spPr>
            <a:xfrm>
              <a:off x="207817" y="1298189"/>
              <a:ext cx="2925649" cy="1435914"/>
            </a:xfrm>
            <a:prstGeom prst="roundRect">
              <a:avLst/>
            </a:prstGeom>
            <a:gradFill>
              <a:gsLst>
                <a:gs pos="0">
                  <a:schemeClr val="accent4">
                    <a:lumMod val="20000"/>
                    <a:lumOff val="80000"/>
                  </a:schemeClr>
                </a:gs>
                <a:gs pos="100000">
                  <a:schemeClr val="accent4"/>
                </a:gs>
              </a:gsLst>
              <a:lin ang="600000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ln>
                    <a:noFill/>
                  </a:ln>
                  <a:noFill/>
                </a:rPr>
                <a:t> </a:t>
              </a:r>
            </a:p>
          </xdr:txBody>
        </xdr:sp>
        <xdr:sp macro="" textlink="KPI!$K$15">
          <xdr:nvSpPr>
            <xdr:cNvPr id="37" name="Rectangle: Rounded Corners 36">
              <a:extLst>
                <a:ext uri="{FF2B5EF4-FFF2-40B4-BE49-F238E27FC236}">
                  <a16:creationId xmlns:a16="http://schemas.microsoft.com/office/drawing/2014/main" id="{90AE300F-0EBA-7E74-39C5-C5CAFD8FF54D}"/>
                </a:ext>
              </a:extLst>
            </xdr:cNvPr>
            <xdr:cNvSpPr/>
          </xdr:nvSpPr>
          <xdr:spPr>
            <a:xfrm>
              <a:off x="544286" y="1357566"/>
              <a:ext cx="2344476" cy="362287"/>
            </a:xfrm>
            <a:prstGeom prst="roundRect">
              <a:avLst/>
            </a:prstGeom>
            <a:gradFill>
              <a:gsLst>
                <a:gs pos="0">
                  <a:schemeClr val="accent4">
                    <a:lumMod val="40000"/>
                    <a:lumOff val="60000"/>
                  </a:schemeClr>
                </a:gs>
                <a:gs pos="100000">
                  <a:schemeClr val="accent4"/>
                </a:gs>
              </a:gsLst>
              <a:lin ang="4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686FE9C-0EB8-4C0A-8D22-99F33663FD65}" type="TxLink">
                <a:rPr lang="en-US" sz="20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ctr"/>
                <a:t># 43</a:t>
              </a:fld>
              <a:endParaRPr lang="en-US" sz="20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38" name="Rectangle: Rounded Corners 37">
              <a:extLst>
                <a:ext uri="{FF2B5EF4-FFF2-40B4-BE49-F238E27FC236}">
                  <a16:creationId xmlns:a16="http://schemas.microsoft.com/office/drawing/2014/main" id="{615559D2-D547-700C-7B25-1785F8D1F2F8}"/>
                </a:ext>
              </a:extLst>
            </xdr:cNvPr>
            <xdr:cNvSpPr/>
          </xdr:nvSpPr>
          <xdr:spPr>
            <a:xfrm>
              <a:off x="538871" y="2321525"/>
              <a:ext cx="2342432" cy="320432"/>
            </a:xfrm>
            <a:prstGeom prst="roundRect">
              <a:avLst/>
            </a:prstGeom>
            <a:gradFill>
              <a:gsLst>
                <a:gs pos="0">
                  <a:schemeClr val="accent4">
                    <a:lumMod val="40000"/>
                    <a:lumOff val="60000"/>
                  </a:schemeClr>
                </a:gs>
                <a:gs pos="100000">
                  <a:schemeClr val="accent4"/>
                </a:gs>
              </a:gsLst>
              <a:lin ang="4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tx1"/>
                  </a:solidFill>
                  <a:latin typeface="Lato Black" panose="020F0502020204030203" pitchFamily="34" charset="0"/>
                  <a:ea typeface="Lato Black" panose="020F0502020204030203" pitchFamily="34" charset="0"/>
                  <a:cs typeface="Lato Black" panose="020F0502020204030203" pitchFamily="34" charset="0"/>
                </a:rPr>
                <a:t>MOM GROWTH</a:t>
              </a:r>
            </a:p>
          </xdr:txBody>
        </xdr:sp>
      </xdr:grpSp>
      <xdr:grpSp>
        <xdr:nvGrpSpPr>
          <xdr:cNvPr id="40" name="Group 39">
            <a:extLst>
              <a:ext uri="{FF2B5EF4-FFF2-40B4-BE49-F238E27FC236}">
                <a16:creationId xmlns:a16="http://schemas.microsoft.com/office/drawing/2014/main" id="{4B0135C8-B41D-AFA6-374B-6BF233B7D33A}"/>
              </a:ext>
            </a:extLst>
          </xdr:cNvPr>
          <xdr:cNvGrpSpPr/>
        </xdr:nvGrpSpPr>
        <xdr:grpSpPr>
          <a:xfrm>
            <a:off x="10855786" y="734754"/>
            <a:ext cx="3341512" cy="2213989"/>
            <a:chOff x="207817" y="789888"/>
            <a:chExt cx="2925649" cy="1922909"/>
          </a:xfrm>
        </xdr:grpSpPr>
        <xdr:sp macro="" textlink="">
          <xdr:nvSpPr>
            <xdr:cNvPr id="41" name="Rectangle: Rounded Corners 40">
              <a:extLst>
                <a:ext uri="{FF2B5EF4-FFF2-40B4-BE49-F238E27FC236}">
                  <a16:creationId xmlns:a16="http://schemas.microsoft.com/office/drawing/2014/main" id="{177D703A-BC3A-B087-CE45-72410A6B159D}"/>
                </a:ext>
              </a:extLst>
            </xdr:cNvPr>
            <xdr:cNvSpPr/>
          </xdr:nvSpPr>
          <xdr:spPr>
            <a:xfrm>
              <a:off x="247403" y="789888"/>
              <a:ext cx="2866272" cy="444426"/>
            </a:xfrm>
            <a:prstGeom prst="roundRect">
              <a:avLst/>
            </a:prstGeom>
            <a:gradFill>
              <a:gsLst>
                <a:gs pos="0">
                  <a:schemeClr val="accent4">
                    <a:lumMod val="20000"/>
                    <a:lumOff val="80000"/>
                  </a:schemeClr>
                </a:gs>
                <a:gs pos="100000">
                  <a:schemeClr val="accent4"/>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chemeClr val="tx1"/>
                  </a:solidFill>
                  <a:latin typeface="Lato Black" panose="020F0502020204030203" pitchFamily="34" charset="0"/>
                  <a:ea typeface="Lato Black" panose="020F0502020204030203" pitchFamily="34" charset="0"/>
                  <a:cs typeface="Lato Black" panose="020F0502020204030203" pitchFamily="34" charset="0"/>
                </a:rPr>
                <a:t>NO OF ORDER'S</a:t>
              </a:r>
            </a:p>
          </xdr:txBody>
        </xdr:sp>
        <xdr:sp macro="" textlink="">
          <xdr:nvSpPr>
            <xdr:cNvPr id="42" name="Rectangle: Rounded Corners 41">
              <a:extLst>
                <a:ext uri="{FF2B5EF4-FFF2-40B4-BE49-F238E27FC236}">
                  <a16:creationId xmlns:a16="http://schemas.microsoft.com/office/drawing/2014/main" id="{2C485353-4799-C12B-4365-22C770E1CB9A}"/>
                </a:ext>
              </a:extLst>
            </xdr:cNvPr>
            <xdr:cNvSpPr/>
          </xdr:nvSpPr>
          <xdr:spPr>
            <a:xfrm>
              <a:off x="207817" y="1298189"/>
              <a:ext cx="2925649" cy="1414608"/>
            </a:xfrm>
            <a:prstGeom prst="roundRect">
              <a:avLst/>
            </a:prstGeom>
            <a:gradFill>
              <a:gsLst>
                <a:gs pos="0">
                  <a:schemeClr val="accent4">
                    <a:lumMod val="20000"/>
                    <a:lumOff val="80000"/>
                  </a:schemeClr>
                </a:gs>
                <a:gs pos="100000">
                  <a:schemeClr val="accent4"/>
                </a:gs>
              </a:gsLst>
              <a:lin ang="600000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ln>
                    <a:noFill/>
                  </a:ln>
                  <a:noFill/>
                </a:rPr>
                <a:t> </a:t>
              </a:r>
            </a:p>
          </xdr:txBody>
        </xdr:sp>
        <xdr:sp macro="" textlink="KPI!$N$15">
          <xdr:nvSpPr>
            <xdr:cNvPr id="43" name="Rectangle: Rounded Corners 42">
              <a:extLst>
                <a:ext uri="{FF2B5EF4-FFF2-40B4-BE49-F238E27FC236}">
                  <a16:creationId xmlns:a16="http://schemas.microsoft.com/office/drawing/2014/main" id="{D3B04B78-902A-0025-6096-A8AC9575D991}"/>
                </a:ext>
              </a:extLst>
            </xdr:cNvPr>
            <xdr:cNvSpPr/>
          </xdr:nvSpPr>
          <xdr:spPr>
            <a:xfrm>
              <a:off x="544286" y="1357566"/>
              <a:ext cx="2344476" cy="362287"/>
            </a:xfrm>
            <a:prstGeom prst="roundRect">
              <a:avLst/>
            </a:prstGeom>
            <a:gradFill>
              <a:gsLst>
                <a:gs pos="0">
                  <a:schemeClr val="accent4">
                    <a:lumMod val="40000"/>
                    <a:lumOff val="60000"/>
                  </a:schemeClr>
                </a:gs>
                <a:gs pos="100000">
                  <a:schemeClr val="accent4"/>
                </a:gs>
              </a:gsLst>
              <a:lin ang="4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CE0167C-9477-4E33-93DB-FDF3E4B0F262}" type="TxLink">
                <a:rPr lang="en-US" sz="20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ctr"/>
                <a:t># 31</a:t>
              </a:fld>
              <a:endParaRPr lang="en-US" sz="20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44" name="Rectangle: Rounded Corners 43">
              <a:extLst>
                <a:ext uri="{FF2B5EF4-FFF2-40B4-BE49-F238E27FC236}">
                  <a16:creationId xmlns:a16="http://schemas.microsoft.com/office/drawing/2014/main" id="{52FD6E39-6C5E-DDF8-CFED-5D1A28D2F8E8}"/>
                </a:ext>
              </a:extLst>
            </xdr:cNvPr>
            <xdr:cNvSpPr/>
          </xdr:nvSpPr>
          <xdr:spPr>
            <a:xfrm>
              <a:off x="538871" y="2321525"/>
              <a:ext cx="2342432" cy="320432"/>
            </a:xfrm>
            <a:prstGeom prst="roundRect">
              <a:avLst/>
            </a:prstGeom>
            <a:gradFill>
              <a:gsLst>
                <a:gs pos="0">
                  <a:schemeClr val="accent4">
                    <a:lumMod val="40000"/>
                    <a:lumOff val="60000"/>
                  </a:schemeClr>
                </a:gs>
                <a:gs pos="100000">
                  <a:schemeClr val="accent4"/>
                </a:gs>
              </a:gsLst>
              <a:lin ang="4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tx1"/>
                  </a:solidFill>
                  <a:latin typeface="Lato Black" panose="020F0502020204030203" pitchFamily="34" charset="0"/>
                  <a:ea typeface="Lato Black" panose="020F0502020204030203" pitchFamily="34" charset="0"/>
                  <a:cs typeface="Lato Black" panose="020F0502020204030203" pitchFamily="34" charset="0"/>
                </a:rPr>
                <a:t>MOM GROWTH</a:t>
              </a:r>
            </a:p>
          </xdr:txBody>
        </xdr:sp>
      </xdr:grpSp>
    </xdr:grpSp>
    <xdr:clientData/>
  </xdr:twoCellAnchor>
  <xdr:twoCellAnchor editAs="oneCell">
    <xdr:from>
      <xdr:col>9</xdr:col>
      <xdr:colOff>264310</xdr:colOff>
      <xdr:row>14</xdr:row>
      <xdr:rowOff>36554</xdr:rowOff>
    </xdr:from>
    <xdr:to>
      <xdr:col>11</xdr:col>
      <xdr:colOff>59028</xdr:colOff>
      <xdr:row>15</xdr:row>
      <xdr:rowOff>146213</xdr:rowOff>
    </xdr:to>
    <xdr:pic>
      <xdr:nvPicPr>
        <xdr:cNvPr id="46" name="Picture 45">
          <a:extLst>
            <a:ext uri="{FF2B5EF4-FFF2-40B4-BE49-F238E27FC236}">
              <a16:creationId xmlns:a16="http://schemas.microsoft.com/office/drawing/2014/main" id="{763D745A-9C79-101F-B04C-0A7BE0A807A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755771" y="2595299"/>
          <a:ext cx="1015043" cy="292427"/>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80564</xdr:colOff>
      <xdr:row>14</xdr:row>
      <xdr:rowOff>26855</xdr:rowOff>
    </xdr:from>
    <xdr:to>
      <xdr:col>16</xdr:col>
      <xdr:colOff>540449</xdr:colOff>
      <xdr:row>15</xdr:row>
      <xdr:rowOff>154414</xdr:rowOff>
    </xdr:to>
    <xdr:pic>
      <xdr:nvPicPr>
        <xdr:cNvPr id="47" name="Picture 46">
          <a:extLst>
            <a:ext uri="{FF2B5EF4-FFF2-40B4-BE49-F238E27FC236}">
              <a16:creationId xmlns:a16="http://schemas.microsoft.com/office/drawing/2014/main" id="{96423ED8-0CCA-AEF7-C1DF-7435C3B78C17}"/>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244705" y="2564617"/>
          <a:ext cx="1070828" cy="308828"/>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21</xdr:col>
          <xdr:colOff>3948</xdr:colOff>
          <xdr:row>14</xdr:row>
          <xdr:rowOff>43430</xdr:rowOff>
        </xdr:from>
        <xdr:to>
          <xdr:col>22</xdr:col>
          <xdr:colOff>359285</xdr:colOff>
          <xdr:row>15</xdr:row>
          <xdr:rowOff>153978</xdr:rowOff>
        </xdr:to>
        <xdr:pic>
          <xdr:nvPicPr>
            <xdr:cNvPr id="49" name="Picture 48">
              <a:extLst>
                <a:ext uri="{FF2B5EF4-FFF2-40B4-BE49-F238E27FC236}">
                  <a16:creationId xmlns:a16="http://schemas.microsoft.com/office/drawing/2014/main" id="{65EC7AB4-1B27-F297-BFDC-C702776AA74C}"/>
                </a:ext>
              </a:extLst>
            </xdr:cNvPr>
            <xdr:cNvPicPr>
              <a:picLocks noChangeAspect="1" noChangeArrowheads="1"/>
              <a:extLst>
                <a:ext uri="{84589F7E-364E-4C9E-8A38-B11213B215E9}">
                  <a14:cameraTool cellRange="'KPI MOM'!$N$13" spid="_x0000_s15478"/>
                </a:ext>
              </a:extLst>
            </xdr:cNvPicPr>
          </xdr:nvPicPr>
          <xdr:blipFill>
            <a:blip xmlns:r="http://schemas.openxmlformats.org/officeDocument/2006/relationships" r:embed="rId5"/>
            <a:srcRect/>
            <a:stretch>
              <a:fillRect/>
            </a:stretch>
          </xdr:blipFill>
          <xdr:spPr bwMode="auto">
            <a:xfrm>
              <a:off x="12772383" y="2586062"/>
              <a:ext cx="963358" cy="292165"/>
            </a:xfrm>
            <a:prstGeom prst="rect">
              <a:avLst/>
            </a:prstGeom>
            <a:noFill/>
            <a:ln>
              <a:solidFill>
                <a:schemeClr val="tx1"/>
              </a:solidFill>
            </a:ln>
            <a:effectLst/>
            <a:extLst>
              <a:ext uri="{909E8E84-426E-40DD-AFC4-6F175D3DCCD1}">
                <a14:hiddenFill>
                  <a:solidFill>
                    <a:srgbClr val="FFFFFF"/>
                  </a:solidFill>
                </a14:hiddenFill>
              </a:ext>
            </a:extLst>
          </xdr:spPr>
        </xdr:pic>
        <xdr:clientData/>
      </xdr:twoCellAnchor>
    </mc:Choice>
    <mc:Fallback/>
  </mc:AlternateContent>
  <xdr:twoCellAnchor>
    <xdr:from>
      <xdr:col>6</xdr:col>
      <xdr:colOff>598873</xdr:colOff>
      <xdr:row>10</xdr:row>
      <xdr:rowOff>106192</xdr:rowOff>
    </xdr:from>
    <xdr:to>
      <xdr:col>11</xdr:col>
      <xdr:colOff>115493</xdr:colOff>
      <xdr:row>13</xdr:row>
      <xdr:rowOff>110867</xdr:rowOff>
    </xdr:to>
    <xdr:graphicFrame macro="">
      <xdr:nvGraphicFramePr>
        <xdr:cNvPr id="51" name="Chart 50">
          <a:extLst>
            <a:ext uri="{FF2B5EF4-FFF2-40B4-BE49-F238E27FC236}">
              <a16:creationId xmlns:a16="http://schemas.microsoft.com/office/drawing/2014/main" id="{CF4F8668-DCDA-4568-BB21-72080D9CDE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509559</xdr:colOff>
      <xdr:row>10</xdr:row>
      <xdr:rowOff>88823</xdr:rowOff>
    </xdr:from>
    <xdr:to>
      <xdr:col>16</xdr:col>
      <xdr:colOff>546957</xdr:colOff>
      <xdr:row>13</xdr:row>
      <xdr:rowOff>102848</xdr:rowOff>
    </xdr:to>
    <xdr:graphicFrame macro="">
      <xdr:nvGraphicFramePr>
        <xdr:cNvPr id="52" name="Chart 51">
          <a:extLst>
            <a:ext uri="{FF2B5EF4-FFF2-40B4-BE49-F238E27FC236}">
              <a16:creationId xmlns:a16="http://schemas.microsoft.com/office/drawing/2014/main" id="{B1616A0B-4CF9-4FCE-BBA4-D6631AA946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362858</xdr:colOff>
      <xdr:row>10</xdr:row>
      <xdr:rowOff>93306</xdr:rowOff>
    </xdr:from>
    <xdr:to>
      <xdr:col>22</xdr:col>
      <xdr:colOff>368041</xdr:colOff>
      <xdr:row>13</xdr:row>
      <xdr:rowOff>124409</xdr:rowOff>
    </xdr:to>
    <xdr:graphicFrame macro="">
      <xdr:nvGraphicFramePr>
        <xdr:cNvPr id="53" name="Chart 52">
          <a:extLst>
            <a:ext uri="{FF2B5EF4-FFF2-40B4-BE49-F238E27FC236}">
              <a16:creationId xmlns:a16="http://schemas.microsoft.com/office/drawing/2014/main" id="{FEA67391-3F8A-428C-9D10-DD73A68ECF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207182</xdr:colOff>
      <xdr:row>17</xdr:row>
      <xdr:rowOff>20595</xdr:rowOff>
    </xdr:from>
    <xdr:to>
      <xdr:col>23</xdr:col>
      <xdr:colOff>250210</xdr:colOff>
      <xdr:row>36</xdr:row>
      <xdr:rowOff>5562</xdr:rowOff>
    </xdr:to>
    <xdr:grpSp>
      <xdr:nvGrpSpPr>
        <xdr:cNvPr id="6" name="Group 5">
          <a:extLst>
            <a:ext uri="{FF2B5EF4-FFF2-40B4-BE49-F238E27FC236}">
              <a16:creationId xmlns:a16="http://schemas.microsoft.com/office/drawing/2014/main" id="{C51FE370-C2E4-5588-8E04-BCF9D6FDE73E}"/>
            </a:ext>
          </a:extLst>
        </xdr:cNvPr>
        <xdr:cNvGrpSpPr/>
      </xdr:nvGrpSpPr>
      <xdr:grpSpPr>
        <a:xfrm>
          <a:off x="207182" y="3082450"/>
          <a:ext cx="14063828" cy="3407039"/>
          <a:chOff x="207182" y="3202279"/>
          <a:chExt cx="14186817" cy="3540967"/>
        </a:xfrm>
      </xdr:grpSpPr>
      <xdr:sp macro="" textlink="">
        <xdr:nvSpPr>
          <xdr:cNvPr id="55" name="Rectangle: Rounded Corners 54">
            <a:extLst>
              <a:ext uri="{FF2B5EF4-FFF2-40B4-BE49-F238E27FC236}">
                <a16:creationId xmlns:a16="http://schemas.microsoft.com/office/drawing/2014/main" id="{78C1348F-22D1-F67B-6D8B-8ACDDAB301FD}"/>
              </a:ext>
            </a:extLst>
          </xdr:cNvPr>
          <xdr:cNvSpPr/>
        </xdr:nvSpPr>
        <xdr:spPr>
          <a:xfrm>
            <a:off x="207182" y="3202279"/>
            <a:ext cx="5463821" cy="3535406"/>
          </a:xfrm>
          <a:prstGeom prst="roundRect">
            <a:avLst>
              <a:gd name="adj" fmla="val 7282"/>
            </a:avLst>
          </a:prstGeom>
          <a:gradFill>
            <a:gsLst>
              <a:gs pos="0">
                <a:schemeClr val="accent4">
                  <a:lumMod val="40000"/>
                  <a:lumOff val="60000"/>
                </a:schemeClr>
              </a:gs>
              <a:gs pos="100000">
                <a:schemeClr val="accent4"/>
              </a:gs>
            </a:gsLst>
            <a:lin ang="4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6" name="Rectangle: Rounded Corners 55">
            <a:extLst>
              <a:ext uri="{FF2B5EF4-FFF2-40B4-BE49-F238E27FC236}">
                <a16:creationId xmlns:a16="http://schemas.microsoft.com/office/drawing/2014/main" id="{ABEEA2EC-3ACE-DD69-9A6E-0F14345EB585}"/>
              </a:ext>
            </a:extLst>
          </xdr:cNvPr>
          <xdr:cNvSpPr/>
        </xdr:nvSpPr>
        <xdr:spPr>
          <a:xfrm>
            <a:off x="5747886" y="3217725"/>
            <a:ext cx="4842696" cy="3525521"/>
          </a:xfrm>
          <a:prstGeom prst="roundRect">
            <a:avLst>
              <a:gd name="adj" fmla="val 7282"/>
            </a:avLst>
          </a:prstGeom>
          <a:gradFill>
            <a:gsLst>
              <a:gs pos="0">
                <a:schemeClr val="accent4">
                  <a:lumMod val="40000"/>
                  <a:lumOff val="60000"/>
                </a:schemeClr>
              </a:gs>
              <a:gs pos="100000">
                <a:schemeClr val="accent4"/>
              </a:gs>
            </a:gsLst>
            <a:lin ang="4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7" name="Rectangle: Rounded Corners 56">
            <a:extLst>
              <a:ext uri="{FF2B5EF4-FFF2-40B4-BE49-F238E27FC236}">
                <a16:creationId xmlns:a16="http://schemas.microsoft.com/office/drawing/2014/main" id="{2197EB56-A574-9853-4DA3-A3BA67381D5D}"/>
              </a:ext>
            </a:extLst>
          </xdr:cNvPr>
          <xdr:cNvSpPr/>
        </xdr:nvSpPr>
        <xdr:spPr>
          <a:xfrm>
            <a:off x="10683445" y="3217726"/>
            <a:ext cx="3710554" cy="3505224"/>
          </a:xfrm>
          <a:prstGeom prst="roundRect">
            <a:avLst>
              <a:gd name="adj" fmla="val 7282"/>
            </a:avLst>
          </a:prstGeom>
          <a:gradFill>
            <a:gsLst>
              <a:gs pos="0">
                <a:schemeClr val="accent4">
                  <a:lumMod val="40000"/>
                  <a:lumOff val="60000"/>
                </a:schemeClr>
              </a:gs>
              <a:gs pos="100000">
                <a:schemeClr val="accent4"/>
              </a:gs>
            </a:gsLst>
            <a:lin ang="4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0</xdr:col>
      <xdr:colOff>150254</xdr:colOff>
      <xdr:row>36</xdr:row>
      <xdr:rowOff>107511</xdr:rowOff>
    </xdr:from>
    <xdr:to>
      <xdr:col>9</xdr:col>
      <xdr:colOff>139521</xdr:colOff>
      <xdr:row>55</xdr:row>
      <xdr:rowOff>77491</xdr:rowOff>
    </xdr:to>
    <xdr:sp macro="" textlink="">
      <xdr:nvSpPr>
        <xdr:cNvPr id="58" name="Rectangle: Rounded Corners 57">
          <a:extLst>
            <a:ext uri="{FF2B5EF4-FFF2-40B4-BE49-F238E27FC236}">
              <a16:creationId xmlns:a16="http://schemas.microsoft.com/office/drawing/2014/main" id="{DAA3B710-2B53-1FC0-A652-306D08E5B920}"/>
            </a:ext>
          </a:extLst>
        </xdr:cNvPr>
        <xdr:cNvSpPr/>
      </xdr:nvSpPr>
      <xdr:spPr>
        <a:xfrm>
          <a:off x="150254" y="6616799"/>
          <a:ext cx="5452420" cy="3405438"/>
        </a:xfrm>
        <a:prstGeom prst="roundRect">
          <a:avLst>
            <a:gd name="adj" fmla="val 7282"/>
          </a:avLst>
        </a:prstGeom>
        <a:gradFill>
          <a:gsLst>
            <a:gs pos="0">
              <a:schemeClr val="accent4">
                <a:lumMod val="40000"/>
                <a:lumOff val="60000"/>
              </a:schemeClr>
            </a:gs>
            <a:gs pos="100000">
              <a:schemeClr val="accent4"/>
            </a:gs>
          </a:gsLst>
          <a:lin ang="4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219157</xdr:colOff>
      <xdr:row>36</xdr:row>
      <xdr:rowOff>113550</xdr:rowOff>
    </xdr:from>
    <xdr:to>
      <xdr:col>16</xdr:col>
      <xdr:colOff>320040</xdr:colOff>
      <xdr:row>55</xdr:row>
      <xdr:rowOff>64576</xdr:rowOff>
    </xdr:to>
    <xdr:sp macro="" textlink="">
      <xdr:nvSpPr>
        <xdr:cNvPr id="59" name="Rectangle: Rounded Corners 58">
          <a:extLst>
            <a:ext uri="{FF2B5EF4-FFF2-40B4-BE49-F238E27FC236}">
              <a16:creationId xmlns:a16="http://schemas.microsoft.com/office/drawing/2014/main" id="{81C38292-E6E8-483F-918C-B4F93A6B47E4}"/>
            </a:ext>
          </a:extLst>
        </xdr:cNvPr>
        <xdr:cNvSpPr/>
      </xdr:nvSpPr>
      <xdr:spPr>
        <a:xfrm>
          <a:off x="5682310" y="6622838"/>
          <a:ext cx="4350001" cy="3386484"/>
        </a:xfrm>
        <a:prstGeom prst="roundRect">
          <a:avLst>
            <a:gd name="adj" fmla="val 7282"/>
          </a:avLst>
        </a:prstGeom>
        <a:gradFill>
          <a:gsLst>
            <a:gs pos="0">
              <a:schemeClr val="accent4">
                <a:lumMod val="40000"/>
                <a:lumOff val="60000"/>
              </a:schemeClr>
            </a:gs>
            <a:gs pos="100000">
              <a:schemeClr val="accent4"/>
            </a:gs>
          </a:gsLst>
          <a:lin ang="4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477077</xdr:colOff>
      <xdr:row>17</xdr:row>
      <xdr:rowOff>159027</xdr:rowOff>
    </xdr:from>
    <xdr:to>
      <xdr:col>6</xdr:col>
      <xdr:colOff>79512</xdr:colOff>
      <xdr:row>19</xdr:row>
      <xdr:rowOff>165652</xdr:rowOff>
    </xdr:to>
    <xdr:sp macro="" textlink="">
      <xdr:nvSpPr>
        <xdr:cNvPr id="60" name="Rectangle: Rounded Corners 59">
          <a:extLst>
            <a:ext uri="{FF2B5EF4-FFF2-40B4-BE49-F238E27FC236}">
              <a16:creationId xmlns:a16="http://schemas.microsoft.com/office/drawing/2014/main" id="{0260C76C-6D39-10FE-B497-965988178BB5}"/>
            </a:ext>
          </a:extLst>
        </xdr:cNvPr>
        <xdr:cNvSpPr/>
      </xdr:nvSpPr>
      <xdr:spPr>
        <a:xfrm>
          <a:off x="477077" y="3313044"/>
          <a:ext cx="3260035" cy="377686"/>
        </a:xfrm>
        <a:prstGeom prst="roundRect">
          <a:avLst/>
        </a:prstGeom>
        <a:gradFill>
          <a:gsLst>
            <a:gs pos="0">
              <a:schemeClr val="accent4">
                <a:lumMod val="40000"/>
                <a:lumOff val="60000"/>
              </a:schemeClr>
            </a:gs>
            <a:gs pos="100000">
              <a:schemeClr val="accent4">
                <a:lumMod val="20000"/>
                <a:lumOff val="80000"/>
              </a:schemeClr>
            </a:gs>
          </a:gsLst>
          <a:lin ang="4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a:solidFill>
                <a:schemeClr val="tx1"/>
              </a:solidFill>
              <a:latin typeface="Lato Black" panose="020F0502020204030203" pitchFamily="34" charset="0"/>
              <a:ea typeface="Lato Black" panose="020F0502020204030203" pitchFamily="34" charset="0"/>
              <a:cs typeface="Lato Black" panose="020F0502020204030203" pitchFamily="34" charset="0"/>
            </a:rPr>
            <a:t>SALES AND PROFIT ANALYSIS</a:t>
          </a:r>
        </a:p>
      </xdr:txBody>
    </xdr:sp>
    <xdr:clientData/>
  </xdr:twoCellAnchor>
  <xdr:twoCellAnchor>
    <xdr:from>
      <xdr:col>9</xdr:col>
      <xdr:colOff>500158</xdr:colOff>
      <xdr:row>18</xdr:row>
      <xdr:rowOff>9297</xdr:rowOff>
    </xdr:from>
    <xdr:to>
      <xdr:col>15</xdr:col>
      <xdr:colOff>102593</xdr:colOff>
      <xdr:row>20</xdr:row>
      <xdr:rowOff>15921</xdr:rowOff>
    </xdr:to>
    <xdr:sp macro="" textlink="">
      <xdr:nvSpPr>
        <xdr:cNvPr id="61" name="Rectangle: Rounded Corners 60">
          <a:extLst>
            <a:ext uri="{FF2B5EF4-FFF2-40B4-BE49-F238E27FC236}">
              <a16:creationId xmlns:a16="http://schemas.microsoft.com/office/drawing/2014/main" id="{0B276125-D9FB-E2EB-2361-66568EC0D253}"/>
            </a:ext>
          </a:extLst>
        </xdr:cNvPr>
        <xdr:cNvSpPr/>
      </xdr:nvSpPr>
      <xdr:spPr>
        <a:xfrm>
          <a:off x="5980435" y="3315833"/>
          <a:ext cx="3255953" cy="374017"/>
        </a:xfrm>
        <a:prstGeom prst="roundRect">
          <a:avLst/>
        </a:prstGeom>
        <a:gradFill>
          <a:gsLst>
            <a:gs pos="0">
              <a:schemeClr val="accent4">
                <a:lumMod val="40000"/>
                <a:lumOff val="60000"/>
              </a:schemeClr>
            </a:gs>
            <a:gs pos="100000">
              <a:schemeClr val="accent4">
                <a:lumMod val="20000"/>
                <a:lumOff val="80000"/>
              </a:schemeClr>
            </a:gs>
          </a:gsLst>
          <a:lin ang="4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a:solidFill>
                <a:schemeClr val="tx1"/>
              </a:solidFill>
              <a:latin typeface="Lato Black" panose="020F0502020204030203" pitchFamily="34" charset="0"/>
              <a:ea typeface="Lato Black" panose="020F0502020204030203" pitchFamily="34" charset="0"/>
              <a:cs typeface="Lato Black" panose="020F0502020204030203" pitchFamily="34" charset="0"/>
            </a:rPr>
            <a:t>CATEGORY WISE PROFIT</a:t>
          </a:r>
        </a:p>
      </xdr:txBody>
    </xdr:sp>
    <xdr:clientData/>
  </xdr:twoCellAnchor>
  <xdr:twoCellAnchor>
    <xdr:from>
      <xdr:col>17</xdr:col>
      <xdr:colOff>455412</xdr:colOff>
      <xdr:row>17</xdr:row>
      <xdr:rowOff>177032</xdr:rowOff>
    </xdr:from>
    <xdr:to>
      <xdr:col>22</xdr:col>
      <xdr:colOff>239306</xdr:colOff>
      <xdr:row>20</xdr:row>
      <xdr:rowOff>3656</xdr:rowOff>
    </xdr:to>
    <xdr:sp macro="" textlink="">
      <xdr:nvSpPr>
        <xdr:cNvPr id="62" name="Rectangle: Rounded Corners 61">
          <a:extLst>
            <a:ext uri="{FF2B5EF4-FFF2-40B4-BE49-F238E27FC236}">
              <a16:creationId xmlns:a16="http://schemas.microsoft.com/office/drawing/2014/main" id="{8E185B4F-846F-613F-AA55-390EFFD94A05}"/>
            </a:ext>
          </a:extLst>
        </xdr:cNvPr>
        <xdr:cNvSpPr/>
      </xdr:nvSpPr>
      <xdr:spPr>
        <a:xfrm>
          <a:off x="10840024" y="3281710"/>
          <a:ext cx="2838191" cy="374508"/>
        </a:xfrm>
        <a:prstGeom prst="roundRect">
          <a:avLst/>
        </a:prstGeom>
        <a:gradFill>
          <a:gsLst>
            <a:gs pos="0">
              <a:schemeClr val="accent4">
                <a:lumMod val="40000"/>
                <a:lumOff val="60000"/>
              </a:schemeClr>
            </a:gs>
            <a:gs pos="100000">
              <a:schemeClr val="accent4">
                <a:lumMod val="20000"/>
                <a:lumOff val="80000"/>
              </a:schemeClr>
            </a:gs>
          </a:gsLst>
          <a:lin ang="4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chemeClr val="tx1"/>
              </a:solidFill>
              <a:latin typeface="Lato Black" panose="020F0502020204030203" pitchFamily="34" charset="0"/>
              <a:ea typeface="Lato Black" panose="020F0502020204030203" pitchFamily="34" charset="0"/>
              <a:cs typeface="Lato Black" panose="020F0502020204030203" pitchFamily="34" charset="0"/>
            </a:rPr>
            <a:t>CATEGORY WISE SALES SHARE %</a:t>
          </a:r>
        </a:p>
      </xdr:txBody>
    </xdr:sp>
    <xdr:clientData/>
  </xdr:twoCellAnchor>
  <xdr:twoCellAnchor>
    <xdr:from>
      <xdr:col>9</xdr:col>
      <xdr:colOff>573085</xdr:colOff>
      <xdr:row>37</xdr:row>
      <xdr:rowOff>103647</xdr:rowOff>
    </xdr:from>
    <xdr:to>
      <xdr:col>14</xdr:col>
      <xdr:colOff>106681</xdr:colOff>
      <xdr:row>39</xdr:row>
      <xdr:rowOff>45721</xdr:rowOff>
    </xdr:to>
    <xdr:sp macro="" textlink="">
      <xdr:nvSpPr>
        <xdr:cNvPr id="64" name="Rectangle: Rounded Corners 63">
          <a:extLst>
            <a:ext uri="{FF2B5EF4-FFF2-40B4-BE49-F238E27FC236}">
              <a16:creationId xmlns:a16="http://schemas.microsoft.com/office/drawing/2014/main" id="{E830B4C4-BD73-C010-5972-5442CC314A60}"/>
            </a:ext>
          </a:extLst>
        </xdr:cNvPr>
        <xdr:cNvSpPr/>
      </xdr:nvSpPr>
      <xdr:spPr>
        <a:xfrm>
          <a:off x="6059485" y="6870207"/>
          <a:ext cx="2581596" cy="307834"/>
        </a:xfrm>
        <a:prstGeom prst="roundRect">
          <a:avLst/>
        </a:prstGeom>
        <a:gradFill>
          <a:gsLst>
            <a:gs pos="0">
              <a:schemeClr val="accent4">
                <a:lumMod val="40000"/>
                <a:lumOff val="60000"/>
              </a:schemeClr>
            </a:gs>
            <a:gs pos="100000">
              <a:schemeClr val="accent4">
                <a:lumMod val="20000"/>
                <a:lumOff val="80000"/>
              </a:schemeClr>
            </a:gs>
          </a:gsLst>
          <a:lin ang="4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a:solidFill>
                <a:schemeClr val="tx1"/>
              </a:solidFill>
              <a:latin typeface="Lato Black" panose="020F0502020204030203" pitchFamily="34" charset="0"/>
              <a:ea typeface="Lato Black" panose="020F0502020204030203" pitchFamily="34" charset="0"/>
              <a:cs typeface="Lato Black" panose="020F0502020204030203" pitchFamily="34" charset="0"/>
            </a:rPr>
            <a:t>TOP 5 PRODUCT'S</a:t>
          </a:r>
        </a:p>
      </xdr:txBody>
    </xdr:sp>
    <xdr:clientData/>
  </xdr:twoCellAnchor>
  <xdr:twoCellAnchor>
    <xdr:from>
      <xdr:col>0</xdr:col>
      <xdr:colOff>497416</xdr:colOff>
      <xdr:row>20</xdr:row>
      <xdr:rowOff>78408</xdr:rowOff>
    </xdr:from>
    <xdr:to>
      <xdr:col>9</xdr:col>
      <xdr:colOff>30369</xdr:colOff>
      <xdr:row>35</xdr:row>
      <xdr:rowOff>138373</xdr:rowOff>
    </xdr:to>
    <xdr:graphicFrame macro="">
      <xdr:nvGraphicFramePr>
        <xdr:cNvPr id="66" name="Chart 65">
          <a:extLst>
            <a:ext uri="{FF2B5EF4-FFF2-40B4-BE49-F238E27FC236}">
              <a16:creationId xmlns:a16="http://schemas.microsoft.com/office/drawing/2014/main" id="{2E4FAE55-CD16-4893-979B-DDB5309720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xdr:col>
      <xdr:colOff>343786</xdr:colOff>
      <xdr:row>14</xdr:row>
      <xdr:rowOff>13366</xdr:rowOff>
    </xdr:from>
    <xdr:to>
      <xdr:col>5</xdr:col>
      <xdr:colOff>260684</xdr:colOff>
      <xdr:row>15</xdr:row>
      <xdr:rowOff>116958</xdr:rowOff>
    </xdr:to>
    <xdr:pic>
      <xdr:nvPicPr>
        <xdr:cNvPr id="67" name="Picture 66">
          <a:extLst>
            <a:ext uri="{FF2B5EF4-FFF2-40B4-BE49-F238E27FC236}">
              <a16:creationId xmlns:a16="http://schemas.microsoft.com/office/drawing/2014/main" id="{2756D2CB-8B87-6E94-05F4-9829DDBD512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172586" y="2593533"/>
          <a:ext cx="1136098" cy="287890"/>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xdr:from>
      <xdr:col>9</xdr:col>
      <xdr:colOff>385972</xdr:colOff>
      <xdr:row>20</xdr:row>
      <xdr:rowOff>104302</xdr:rowOff>
    </xdr:from>
    <xdr:to>
      <xdr:col>17</xdr:col>
      <xdr:colOff>62699</xdr:colOff>
      <xdr:row>35</xdr:row>
      <xdr:rowOff>76592</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B5E31D75-67D4-4F32-AD5C-479BF661263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5872372" y="3761902"/>
              <a:ext cx="4553527" cy="271549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108857</xdr:colOff>
      <xdr:row>19</xdr:row>
      <xdr:rowOff>159099</xdr:rowOff>
    </xdr:from>
    <xdr:to>
      <xdr:col>23</xdr:col>
      <xdr:colOff>318197</xdr:colOff>
      <xdr:row>36</xdr:row>
      <xdr:rowOff>108857</xdr:rowOff>
    </xdr:to>
    <xdr:graphicFrame macro="">
      <xdr:nvGraphicFramePr>
        <xdr:cNvPr id="3" name="Chart 2">
          <a:extLst>
            <a:ext uri="{FF2B5EF4-FFF2-40B4-BE49-F238E27FC236}">
              <a16:creationId xmlns:a16="http://schemas.microsoft.com/office/drawing/2014/main" id="{6FED36B0-DFBC-4F4C-9709-165B208599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367957</xdr:colOff>
      <xdr:row>36</xdr:row>
      <xdr:rowOff>174394</xdr:rowOff>
    </xdr:from>
    <xdr:to>
      <xdr:col>4</xdr:col>
      <xdr:colOff>496785</xdr:colOff>
      <xdr:row>38</xdr:row>
      <xdr:rowOff>176894</xdr:rowOff>
    </xdr:to>
    <xdr:sp macro="" textlink="">
      <xdr:nvSpPr>
        <xdr:cNvPr id="4" name="Rectangle: Rounded Corners 3">
          <a:extLst>
            <a:ext uri="{FF2B5EF4-FFF2-40B4-BE49-F238E27FC236}">
              <a16:creationId xmlns:a16="http://schemas.microsoft.com/office/drawing/2014/main" id="{921252C2-FA89-A43F-71E4-918C0B7CACE1}"/>
            </a:ext>
          </a:extLst>
        </xdr:cNvPr>
        <xdr:cNvSpPr/>
      </xdr:nvSpPr>
      <xdr:spPr>
        <a:xfrm>
          <a:off x="367957" y="6742619"/>
          <a:ext cx="2575814" cy="367402"/>
        </a:xfrm>
        <a:prstGeom prst="roundRect">
          <a:avLst/>
        </a:prstGeom>
        <a:gradFill>
          <a:gsLst>
            <a:gs pos="0">
              <a:schemeClr val="accent4">
                <a:lumMod val="40000"/>
                <a:lumOff val="60000"/>
              </a:schemeClr>
            </a:gs>
            <a:gs pos="100000">
              <a:schemeClr val="accent4">
                <a:lumMod val="20000"/>
                <a:lumOff val="80000"/>
              </a:schemeClr>
            </a:gs>
          </a:gsLst>
          <a:lin ang="4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1"/>
              </a:solidFill>
              <a:latin typeface="Lato Black" panose="020F0502020204030203" pitchFamily="34" charset="0"/>
              <a:ea typeface="Lato Black" panose="020F0502020204030203" pitchFamily="34" charset="0"/>
              <a:cs typeface="Lato Black" panose="020F0502020204030203" pitchFamily="34" charset="0"/>
            </a:rPr>
            <a:t>SALES</a:t>
          </a:r>
          <a:r>
            <a:rPr lang="en-US" sz="1400" b="1" baseline="0">
              <a:solidFill>
                <a:schemeClr val="tx1"/>
              </a:solidFill>
              <a:latin typeface="Lato Black" panose="020F0502020204030203" pitchFamily="34" charset="0"/>
              <a:ea typeface="Lato Black" panose="020F0502020204030203" pitchFamily="34" charset="0"/>
              <a:cs typeface="Lato Black" panose="020F0502020204030203" pitchFamily="34" charset="0"/>
            </a:rPr>
            <a:t> </a:t>
          </a:r>
          <a:r>
            <a:rPr lang="en-US" sz="1400" b="1">
              <a:solidFill>
                <a:schemeClr val="tx1"/>
              </a:solidFill>
              <a:latin typeface="Lato Black" panose="020F0502020204030203" pitchFamily="34" charset="0"/>
              <a:ea typeface="Lato Black" panose="020F0502020204030203" pitchFamily="34" charset="0"/>
              <a:cs typeface="Lato Black" panose="020F0502020204030203" pitchFamily="34" charset="0"/>
            </a:rPr>
            <a:t>BY STATE</a:t>
          </a:r>
        </a:p>
      </xdr:txBody>
    </xdr:sp>
    <xdr:clientData/>
  </xdr:twoCellAnchor>
  <xdr:twoCellAnchor>
    <xdr:from>
      <xdr:col>0</xdr:col>
      <xdr:colOff>542416</xdr:colOff>
      <xdr:row>39</xdr:row>
      <xdr:rowOff>31198</xdr:rowOff>
    </xdr:from>
    <xdr:to>
      <xdr:col>8</xdr:col>
      <xdr:colOff>343436</xdr:colOff>
      <xdr:row>54</xdr:row>
      <xdr:rowOff>165940</xdr:rowOff>
    </xdr:to>
    <mc:AlternateContent xmlns:mc="http://schemas.openxmlformats.org/markup-compatibility/2006">
      <mc:Choice xmlns:cx4="http://schemas.microsoft.com/office/drawing/2016/5/10/chartex" Requires="cx4">
        <xdr:graphicFrame macro="">
          <xdr:nvGraphicFramePr>
            <xdr:cNvPr id="10" name="Chart 9">
              <a:extLst>
                <a:ext uri="{FF2B5EF4-FFF2-40B4-BE49-F238E27FC236}">
                  <a16:creationId xmlns:a16="http://schemas.microsoft.com/office/drawing/2014/main" id="{FC54224F-639D-456F-BE77-BF7C37712D9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542416" y="7163518"/>
              <a:ext cx="4677820" cy="287794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396240</xdr:colOff>
      <xdr:row>39</xdr:row>
      <xdr:rowOff>83540</xdr:rowOff>
    </xdr:from>
    <xdr:to>
      <xdr:col>17</xdr:col>
      <xdr:colOff>274320</xdr:colOff>
      <xdr:row>54</xdr:row>
      <xdr:rowOff>137160</xdr:rowOff>
    </xdr:to>
    <xdr:graphicFrame macro="">
      <xdr:nvGraphicFramePr>
        <xdr:cNvPr id="11" name="Chart 10">
          <a:extLst>
            <a:ext uri="{FF2B5EF4-FFF2-40B4-BE49-F238E27FC236}">
              <a16:creationId xmlns:a16="http://schemas.microsoft.com/office/drawing/2014/main" id="{D6C0DF60-CC8B-4E22-9EB5-3878965CBE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399574</xdr:colOff>
      <xdr:row>36</xdr:row>
      <xdr:rowOff>92733</xdr:rowOff>
    </xdr:from>
    <xdr:to>
      <xdr:col>23</xdr:col>
      <xdr:colOff>231934</xdr:colOff>
      <xdr:row>55</xdr:row>
      <xdr:rowOff>65902</xdr:rowOff>
    </xdr:to>
    <xdr:sp macro="" textlink="">
      <xdr:nvSpPr>
        <xdr:cNvPr id="12" name="Rectangle: Rounded Corners 11">
          <a:extLst>
            <a:ext uri="{FF2B5EF4-FFF2-40B4-BE49-F238E27FC236}">
              <a16:creationId xmlns:a16="http://schemas.microsoft.com/office/drawing/2014/main" id="{40DA185A-EEF2-CF47-21F8-054A3FA03BBA}"/>
            </a:ext>
          </a:extLst>
        </xdr:cNvPr>
        <xdr:cNvSpPr/>
      </xdr:nvSpPr>
      <xdr:spPr>
        <a:xfrm>
          <a:off x="10115074" y="6522108"/>
          <a:ext cx="4082891" cy="3366450"/>
        </a:xfrm>
        <a:prstGeom prst="roundRect">
          <a:avLst>
            <a:gd name="adj" fmla="val 9367"/>
          </a:avLst>
        </a:prstGeom>
        <a:gradFill>
          <a:gsLst>
            <a:gs pos="0">
              <a:schemeClr val="accent4">
                <a:lumMod val="40000"/>
                <a:lumOff val="60000"/>
              </a:schemeClr>
            </a:gs>
            <a:gs pos="100000">
              <a:schemeClr val="accent4"/>
            </a:gs>
          </a:gsLst>
          <a:lin ang="4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213360</xdr:colOff>
      <xdr:row>37</xdr:row>
      <xdr:rowOff>30480</xdr:rowOff>
    </xdr:from>
    <xdr:to>
      <xdr:col>20</xdr:col>
      <xdr:colOff>518160</xdr:colOff>
      <xdr:row>38</xdr:row>
      <xdr:rowOff>137160</xdr:rowOff>
    </xdr:to>
    <xdr:sp macro="" textlink="">
      <xdr:nvSpPr>
        <xdr:cNvPr id="13" name="Rectangle: Rounded Corners 12">
          <a:extLst>
            <a:ext uri="{FF2B5EF4-FFF2-40B4-BE49-F238E27FC236}">
              <a16:creationId xmlns:a16="http://schemas.microsoft.com/office/drawing/2014/main" id="{4F78C728-A6F6-C29C-EE51-DADA92077F75}"/>
            </a:ext>
          </a:extLst>
        </xdr:cNvPr>
        <xdr:cNvSpPr/>
      </xdr:nvSpPr>
      <xdr:spPr>
        <a:xfrm>
          <a:off x="10576560" y="6797040"/>
          <a:ext cx="2133600" cy="289560"/>
        </a:xfrm>
        <a:prstGeom prst="roundRect">
          <a:avLst/>
        </a:prstGeom>
        <a:gradFill>
          <a:gsLst>
            <a:gs pos="0">
              <a:schemeClr val="accent4">
                <a:lumMod val="40000"/>
                <a:lumOff val="60000"/>
              </a:schemeClr>
            </a:gs>
            <a:gs pos="100000">
              <a:schemeClr val="accent4">
                <a:lumMod val="20000"/>
                <a:lumOff val="80000"/>
              </a:schemeClr>
            </a:gs>
          </a:gsLst>
          <a:lin ang="4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1"/>
              </a:solidFill>
              <a:latin typeface="Lato Black" panose="020F0502020204030203" pitchFamily="34" charset="0"/>
              <a:ea typeface="Lato Black" panose="020F0502020204030203" pitchFamily="34" charset="0"/>
              <a:cs typeface="Lato Black" panose="020F0502020204030203" pitchFamily="34" charset="0"/>
            </a:rPr>
            <a:t>FILTER'S</a:t>
          </a:r>
        </a:p>
      </xdr:txBody>
    </xdr:sp>
    <xdr:clientData/>
  </xdr:twoCellAnchor>
  <xdr:oneCellAnchor>
    <xdr:from>
      <xdr:col>24</xdr:col>
      <xdr:colOff>289560</xdr:colOff>
      <xdr:row>45</xdr:row>
      <xdr:rowOff>177107</xdr:rowOff>
    </xdr:from>
    <xdr:ext cx="2788920" cy="233205"/>
    <xdr:sp macro="" textlink="">
      <xdr:nvSpPr>
        <xdr:cNvPr id="8" name="TextBox 7">
          <a:extLst>
            <a:ext uri="{FF2B5EF4-FFF2-40B4-BE49-F238E27FC236}">
              <a16:creationId xmlns:a16="http://schemas.microsoft.com/office/drawing/2014/main" id="{46A0636B-D64F-F0B1-55DE-EF60A17F2AF3}"/>
            </a:ext>
          </a:extLst>
        </xdr:cNvPr>
        <xdr:cNvSpPr txBox="1"/>
      </xdr:nvSpPr>
      <xdr:spPr>
        <a:xfrm>
          <a:off x="14848939" y="8499923"/>
          <a:ext cx="278892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900"/>
        </a:p>
      </xdr:txBody>
    </xdr:sp>
    <xdr:clientData/>
  </xdr:oneCellAnchor>
  <xdr:oneCellAnchor>
    <xdr:from>
      <xdr:col>25</xdr:col>
      <xdr:colOff>0</xdr:colOff>
      <xdr:row>54</xdr:row>
      <xdr:rowOff>26670</xdr:rowOff>
    </xdr:from>
    <xdr:ext cx="7772400" cy="233205"/>
    <xdr:sp macro="" textlink="">
      <xdr:nvSpPr>
        <xdr:cNvPr id="25" name="TextBox 24">
          <a:extLst>
            <a:ext uri="{FF2B5EF4-FFF2-40B4-BE49-F238E27FC236}">
              <a16:creationId xmlns:a16="http://schemas.microsoft.com/office/drawing/2014/main" id="{7FB51D6F-4BAD-48B0-86CC-BF5571B1FA2A}"/>
            </a:ext>
          </a:extLst>
        </xdr:cNvPr>
        <xdr:cNvSpPr txBox="1"/>
      </xdr:nvSpPr>
      <xdr:spPr>
        <a:xfrm>
          <a:off x="15240000" y="9902190"/>
          <a:ext cx="777240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900"/>
        </a:p>
      </xdr:txBody>
    </xdr:sp>
    <xdr:clientData/>
  </xdr:oneCellAnchor>
  <xdr:oneCellAnchor>
    <xdr:from>
      <xdr:col>25</xdr:col>
      <xdr:colOff>0</xdr:colOff>
      <xdr:row>20</xdr:row>
      <xdr:rowOff>107968</xdr:rowOff>
    </xdr:from>
    <xdr:ext cx="5714286" cy="233205"/>
    <xdr:sp macro="" textlink="">
      <xdr:nvSpPr>
        <xdr:cNvPr id="50" name="TextBox 49">
          <a:extLst>
            <a:ext uri="{FF2B5EF4-FFF2-40B4-BE49-F238E27FC236}">
              <a16:creationId xmlns:a16="http://schemas.microsoft.com/office/drawing/2014/main" id="{FC0A3E5F-EC8A-3588-2C27-C62F32249235}"/>
            </a:ext>
          </a:extLst>
        </xdr:cNvPr>
        <xdr:cNvSpPr txBox="1"/>
      </xdr:nvSpPr>
      <xdr:spPr>
        <a:xfrm>
          <a:off x="15169444" y="3776857"/>
          <a:ext cx="5714286"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900"/>
        </a:p>
      </xdr:txBody>
    </xdr:sp>
    <xdr:clientData/>
  </xdr:oneCellAnchor>
  <xdr:twoCellAnchor editAs="oneCell">
    <xdr:from>
      <xdr:col>4</xdr:col>
      <xdr:colOff>90753</xdr:colOff>
      <xdr:row>0</xdr:row>
      <xdr:rowOff>108320</xdr:rowOff>
    </xdr:from>
    <xdr:to>
      <xdr:col>4</xdr:col>
      <xdr:colOff>584972</xdr:colOff>
      <xdr:row>3</xdr:row>
      <xdr:rowOff>54980</xdr:rowOff>
    </xdr:to>
    <xdr:pic>
      <xdr:nvPicPr>
        <xdr:cNvPr id="65" name="Picture 64">
          <a:extLst>
            <a:ext uri="{FF2B5EF4-FFF2-40B4-BE49-F238E27FC236}">
              <a16:creationId xmlns:a16="http://schemas.microsoft.com/office/drawing/2014/main" id="{31ED2607-A2B2-4171-A430-B3F439444696}"/>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837473B0-CC2E-450A-ABE3-18F120FF3D39}">
              <a1611:picAttrSrcUrl xmlns:a1611="http://schemas.microsoft.com/office/drawing/2016/11/main" r:id="rId16"/>
            </a:ext>
          </a:extLst>
        </a:blip>
        <a:stretch>
          <a:fillRect/>
        </a:stretch>
      </xdr:blipFill>
      <xdr:spPr>
        <a:xfrm>
          <a:off x="2509801" y="108320"/>
          <a:ext cx="494219" cy="490946"/>
        </a:xfrm>
        <a:prstGeom prst="rect">
          <a:avLst/>
        </a:prstGeom>
      </xdr:spPr>
    </xdr:pic>
    <xdr:clientData/>
  </xdr:twoCellAnchor>
  <xdr:oneCellAnchor>
    <xdr:from>
      <xdr:col>23</xdr:col>
      <xdr:colOff>0</xdr:colOff>
      <xdr:row>27</xdr:row>
      <xdr:rowOff>183321</xdr:rowOff>
    </xdr:from>
    <xdr:ext cx="4876800" cy="233205"/>
    <xdr:sp macro="" textlink="">
      <xdr:nvSpPr>
        <xdr:cNvPr id="68" name="TextBox 67">
          <a:extLst>
            <a:ext uri="{FF2B5EF4-FFF2-40B4-BE49-F238E27FC236}">
              <a16:creationId xmlns:a16="http://schemas.microsoft.com/office/drawing/2014/main" id="{96D74F3E-BBDA-25B8-3472-7D02BB70425C}"/>
            </a:ext>
          </a:extLst>
        </xdr:cNvPr>
        <xdr:cNvSpPr txBox="1"/>
      </xdr:nvSpPr>
      <xdr:spPr>
        <a:xfrm>
          <a:off x="13970000" y="5252278"/>
          <a:ext cx="487680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900"/>
        </a:p>
      </xdr:txBody>
    </xdr:sp>
    <xdr:clientData/>
  </xdr:oneCellAnchor>
  <xdr:twoCellAnchor>
    <xdr:from>
      <xdr:col>16</xdr:col>
      <xdr:colOff>462552</xdr:colOff>
      <xdr:row>38</xdr:row>
      <xdr:rowOff>169593</xdr:rowOff>
    </xdr:from>
    <xdr:to>
      <xdr:col>23</xdr:col>
      <xdr:colOff>121920</xdr:colOff>
      <xdr:row>54</xdr:row>
      <xdr:rowOff>147053</xdr:rowOff>
    </xdr:to>
    <xdr:grpSp>
      <xdr:nvGrpSpPr>
        <xdr:cNvPr id="26" name="Group 25">
          <a:extLst>
            <a:ext uri="{FF2B5EF4-FFF2-40B4-BE49-F238E27FC236}">
              <a16:creationId xmlns:a16="http://schemas.microsoft.com/office/drawing/2014/main" id="{BCFDC93A-9E4D-B631-FA12-3CABA3B34CA6}"/>
            </a:ext>
          </a:extLst>
        </xdr:cNvPr>
        <xdr:cNvGrpSpPr/>
      </xdr:nvGrpSpPr>
      <xdr:grpSpPr>
        <a:xfrm>
          <a:off x="10216152" y="7013738"/>
          <a:ext cx="3926568" cy="2859206"/>
          <a:chOff x="10301800" y="7281941"/>
          <a:chExt cx="3963909" cy="2971637"/>
        </a:xfrm>
      </xdr:grpSpPr>
      <mc:AlternateContent xmlns:mc="http://schemas.openxmlformats.org/markup-compatibility/2006" xmlns:a14="http://schemas.microsoft.com/office/drawing/2010/main">
        <mc:Choice Requires="a14">
          <xdr:graphicFrame macro="">
            <xdr:nvGraphicFramePr>
              <xdr:cNvPr id="17" name="Months (Order_Date) 1">
                <a:extLst>
                  <a:ext uri="{FF2B5EF4-FFF2-40B4-BE49-F238E27FC236}">
                    <a16:creationId xmlns:a16="http://schemas.microsoft.com/office/drawing/2014/main" id="{90646562-C728-4154-8907-5E461A91CB38}"/>
                  </a:ext>
                </a:extLst>
              </xdr:cNvPr>
              <xdr:cNvGraphicFramePr/>
            </xdr:nvGraphicFramePr>
            <xdr:xfrm>
              <a:off x="10308453" y="7365283"/>
              <a:ext cx="1248058" cy="1546093"/>
            </xdr:xfrm>
            <a:graphic>
              <a:graphicData uri="http://schemas.microsoft.com/office/drawing/2010/slicer">
                <sle:slicer xmlns:sle="http://schemas.microsoft.com/office/drawing/2010/slicer" name="Months (Order_Date) 1"/>
              </a:graphicData>
            </a:graphic>
          </xdr:graphicFrame>
        </mc:Choice>
        <mc:Fallback xmlns="">
          <xdr:sp macro="" textlink="">
            <xdr:nvSpPr>
              <xdr:cNvPr id="0" name=""/>
              <xdr:cNvSpPr>
                <a:spLocks noTextEdit="1"/>
              </xdr:cNvSpPr>
            </xdr:nvSpPr>
            <xdr:spPr>
              <a:xfrm>
                <a:off x="10222742" y="7093927"/>
                <a:ext cx="1236301" cy="14875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0" name="Region 1">
                <a:extLst>
                  <a:ext uri="{FF2B5EF4-FFF2-40B4-BE49-F238E27FC236}">
                    <a16:creationId xmlns:a16="http://schemas.microsoft.com/office/drawing/2014/main" id="{E63F5CDA-AE85-44C3-A983-EEB71237538B}"/>
                  </a:ext>
                </a:extLst>
              </xdr:cNvPr>
              <xdr:cNvGraphicFramePr/>
            </xdr:nvGraphicFramePr>
            <xdr:xfrm>
              <a:off x="11627735" y="7281941"/>
              <a:ext cx="1124540" cy="1472051"/>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469478" y="7019368"/>
                <a:ext cx="1107440" cy="14175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2" name="Category 1">
                <a:extLst>
                  <a:ext uri="{FF2B5EF4-FFF2-40B4-BE49-F238E27FC236}">
                    <a16:creationId xmlns:a16="http://schemas.microsoft.com/office/drawing/2014/main" id="{7F0BB96B-4461-46B0-BBE0-4F94B1D7F4EE}"/>
                  </a:ext>
                </a:extLst>
              </xdr:cNvPr>
              <xdr:cNvGraphicFramePr/>
            </xdr:nvGraphicFramePr>
            <xdr:xfrm>
              <a:off x="10301800" y="9011120"/>
              <a:ext cx="1233784" cy="1166703"/>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0163705" y="8684528"/>
                <a:ext cx="1215023" cy="11235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3" name="Payment_Mode 1">
                <a:extLst>
                  <a:ext uri="{FF2B5EF4-FFF2-40B4-BE49-F238E27FC236}">
                    <a16:creationId xmlns:a16="http://schemas.microsoft.com/office/drawing/2014/main" id="{5D3BCAA7-F08A-4069-A2CA-4119F10407E5}"/>
                  </a:ext>
                </a:extLst>
              </xdr:cNvPr>
              <xdr:cNvGraphicFramePr/>
            </xdr:nvGraphicFramePr>
            <xdr:xfrm>
              <a:off x="11624907" y="8800881"/>
              <a:ext cx="1130110" cy="1444509"/>
            </xdr:xfrm>
            <a:graphic>
              <a:graphicData uri="http://schemas.microsoft.com/office/drawing/2010/slicer">
                <sle:slicer xmlns:sle="http://schemas.microsoft.com/office/drawing/2010/slicer" name="Payment_Mode 1"/>
              </a:graphicData>
            </a:graphic>
          </xdr:graphicFrame>
        </mc:Choice>
        <mc:Fallback xmlns="">
          <xdr:sp macro="" textlink="">
            <xdr:nvSpPr>
              <xdr:cNvPr id="0" name=""/>
              <xdr:cNvSpPr>
                <a:spLocks noTextEdit="1"/>
              </xdr:cNvSpPr>
            </xdr:nvSpPr>
            <xdr:spPr>
              <a:xfrm>
                <a:off x="11466693" y="8482073"/>
                <a:ext cx="1112926" cy="13910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 name="State 1">
                <a:extLst>
                  <a:ext uri="{FF2B5EF4-FFF2-40B4-BE49-F238E27FC236}">
                    <a16:creationId xmlns:a16="http://schemas.microsoft.com/office/drawing/2014/main" id="{624C8E4F-C157-4F30-8034-E761ED92DD24}"/>
                  </a:ext>
                </a:extLst>
              </xdr:cNvPr>
              <xdr:cNvGraphicFramePr/>
            </xdr:nvGraphicFramePr>
            <xdr:xfrm>
              <a:off x="12867086" y="7331641"/>
              <a:ext cx="1398623" cy="2921937"/>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2689983" y="7067227"/>
                <a:ext cx="1377356" cy="2813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888.55594421296" createdVersion="8" refreshedVersion="8" minRefreshableVersion="3" recordCount="100" xr:uid="{4C0DAADE-4CB6-4808-B621-E535144EAE2E}">
  <cacheSource type="worksheet">
    <worksheetSource ref="A1:N101" sheet="Raw Data"/>
  </cacheSource>
  <cacheFields count="16">
    <cacheField name="Order_ID" numFmtId="0">
      <sharedItems count="100">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 v="ORD1060"/>
        <s v="ORD1061"/>
        <s v="ORD1062"/>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099"/>
        <s v="ORD1100"/>
      </sharedItems>
    </cacheField>
    <cacheField name="Customer_ID" numFmtId="0">
      <sharedItems count="100">
        <s v="CUST101"/>
        <s v="CUST102"/>
        <s v="CUST103"/>
        <s v="CUST104"/>
        <s v="CUST105"/>
        <s v="CUST106"/>
        <s v="CUST107"/>
        <s v="CUST108"/>
        <s v="CUST109"/>
        <s v="CUST110"/>
        <s v="CUST111"/>
        <s v="CUST112"/>
        <s v="CUST113"/>
        <s v="CUST114"/>
        <s v="CUST115"/>
        <s v="CUST116"/>
        <s v="CUST117"/>
        <s v="CUST118"/>
        <s v="CUST119"/>
        <s v="CUST120"/>
        <s v="CUST121"/>
        <s v="CUST122"/>
        <s v="CUST123"/>
        <s v="CUST124"/>
        <s v="CUST125"/>
        <s v="CUST126"/>
        <s v="CUST127"/>
        <s v="CUST128"/>
        <s v="CUST129"/>
        <s v="CUST130"/>
        <s v="CUST131"/>
        <s v="CUST132"/>
        <s v="CUST133"/>
        <s v="CUST134"/>
        <s v="CUST135"/>
        <s v="CUST136"/>
        <s v="CUST137"/>
        <s v="CUST138"/>
        <s v="CUST139"/>
        <s v="CUST140"/>
        <s v="CUST141"/>
        <s v="CUST142"/>
        <s v="CUST143"/>
        <s v="CUST144"/>
        <s v="CUST145"/>
        <s v="CUST146"/>
        <s v="CUST147"/>
        <s v="CUST148"/>
        <s v="CUST149"/>
        <s v="CUST150"/>
        <s v="CUST151"/>
        <s v="CUST152"/>
        <s v="CUST153"/>
        <s v="CUST154"/>
        <s v="CUST155"/>
        <s v="CUST156"/>
        <s v="CUST157"/>
        <s v="CUST158"/>
        <s v="CUST159"/>
        <s v="CUST160"/>
        <s v="CUST161"/>
        <s v="CUST162"/>
        <s v="CUST163"/>
        <s v="CUST164"/>
        <s v="CUST165"/>
        <s v="CUST166"/>
        <s v="CUST167"/>
        <s v="CUST168"/>
        <s v="CUST169"/>
        <s v="CUST170"/>
        <s v="CUST171"/>
        <s v="CUST172"/>
        <s v="CUST173"/>
        <s v="CUST174"/>
        <s v="CUST175"/>
        <s v="CUST176"/>
        <s v="CUST177"/>
        <s v="CUST178"/>
        <s v="CUST179"/>
        <s v="CUST180"/>
        <s v="CUST181"/>
        <s v="CUST182"/>
        <s v="CUST183"/>
        <s v="CUST184"/>
        <s v="CUST185"/>
        <s v="CUST186"/>
        <s v="CUST187"/>
        <s v="CUST188"/>
        <s v="CUST189"/>
        <s v="CUST190"/>
        <s v="CUST191"/>
        <s v="CUST192"/>
        <s v="CUST193"/>
        <s v="CUST194"/>
        <s v="CUST195"/>
        <s v="CUST196"/>
        <s v="CUST197"/>
        <s v="CUST198"/>
        <s v="CUST199"/>
        <s v="CUST200"/>
      </sharedItems>
    </cacheField>
    <cacheField name="Product" numFmtId="0">
      <sharedItems count="10">
        <s v="Mobile"/>
        <s v="Laptop"/>
        <s v="Shoes"/>
        <s v="Watch"/>
        <s v="TV"/>
        <s v="Microwave"/>
        <s v="Camera"/>
        <s v="Refrigerator"/>
        <s v="AC"/>
        <s v="Headphones"/>
      </sharedItems>
    </cacheField>
    <cacheField name="Category" numFmtId="0">
      <sharedItems count="3">
        <s v="Electronics"/>
        <s v="Fashion"/>
        <s v="Home Appliance"/>
      </sharedItems>
    </cacheField>
    <cacheField name="Order_Date" numFmtId="14">
      <sharedItems containsSemiMixedTypes="0" containsNonDate="0" containsDate="1" containsString="0" minDate="2024-01-05T00:00:00" maxDate="2024-05-21T00:00:00" count="10">
        <d v="2024-01-05T00:00:00"/>
        <d v="2024-02-10T00:00:00"/>
        <d v="2024-03-03T00:00:00"/>
        <d v="2024-03-20T00:00:00"/>
        <d v="2024-04-01T00:00:00"/>
        <d v="2024-04-08T00:00:00"/>
        <d v="2024-04-15T00:00:00"/>
        <d v="2024-05-01T00:00:00"/>
        <d v="2024-05-10T00:00:00"/>
        <d v="2024-05-20T00:00:00"/>
      </sharedItems>
      <fieldGroup par="14"/>
    </cacheField>
    <cacheField name="Ship_Date" numFmtId="14">
      <sharedItems containsSemiMixedTypes="0" containsNonDate="0" containsDate="1" containsString="0" minDate="2024-01-07T00:00:00" maxDate="2024-05-24T00:00:00"/>
    </cacheField>
    <cacheField name="Region" numFmtId="0">
      <sharedItems count="4">
        <s v="North"/>
        <s v="South"/>
        <s v="West"/>
        <s v="East"/>
      </sharedItems>
    </cacheField>
    <cacheField name="Quantity" numFmtId="0">
      <sharedItems containsSemiMixedTypes="0" containsString="0" containsNumber="1" containsInteger="1" minValue="1" maxValue="4"/>
    </cacheField>
    <cacheField name="Price" numFmtId="164">
      <sharedItems containsSemiMixedTypes="0" containsString="0" containsNumber="1" containsInteger="1" minValue="2000" maxValue="50000"/>
    </cacheField>
    <cacheField name="Discount(%)" numFmtId="0">
      <sharedItems containsSemiMixedTypes="0" containsString="0" containsNumber="1" containsInteger="1" minValue="0" maxValue="20"/>
    </cacheField>
    <cacheField name="Order_Value" numFmtId="164">
      <sharedItems containsSemiMixedTypes="0" containsString="0" containsNumber="1" containsInteger="1" minValue="2000" maxValue="47500"/>
    </cacheField>
    <cacheField name="Profit" numFmtId="164">
      <sharedItems containsSemiMixedTypes="0" containsString="0" containsNumber="1" containsInteger="1" minValue="300" maxValue="6000"/>
    </cacheField>
    <cacheField name="Payment_Mode" numFmtId="0">
      <sharedItems count="5">
        <s v="UPI"/>
        <s v="Credit Card"/>
        <s v="COD"/>
        <s v="Wallet"/>
        <s v="Debit Card"/>
      </sharedItems>
    </cacheField>
    <cacheField name="Days (Order_Date)" numFmtId="0" databaseField="0">
      <fieldGroup base="4">
        <rangePr groupBy="days" startDate="2024-01-05T00:00:00" endDate="2024-05-21T00:00:00"/>
        <groupItems count="368">
          <s v="&lt;5/0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21/05/2024"/>
        </groupItems>
      </fieldGroup>
    </cacheField>
    <cacheField name="Months (Order_Date)" numFmtId="0" databaseField="0">
      <fieldGroup base="4">
        <rangePr groupBy="months" startDate="2024-01-05T00:00:00" endDate="2024-05-21T00:00:00"/>
        <groupItems count="14">
          <s v="&lt;5/01/2024"/>
          <s v="Jan"/>
          <s v="Feb"/>
          <s v="Mar"/>
          <s v="Apr"/>
          <s v="May"/>
          <s v="Jun"/>
          <s v="Jul"/>
          <s v="Aug"/>
          <s v="Sep"/>
          <s v="Oct"/>
          <s v="Nov"/>
          <s v="Dec"/>
          <s v="&gt;21/05/2024"/>
        </groupItems>
      </fieldGroup>
    </cacheField>
    <cacheField name="Profit Margin" numFmtId="0" formula="Profit/Order_Value" databaseField="0"/>
  </cacheFields>
  <extLst>
    <ext xmlns:x14="http://schemas.microsoft.com/office/spreadsheetml/2009/9/main" uri="{725AE2AE-9491-48be-B2B4-4EB974FC3084}">
      <x14:pivotCacheDefinition pivotCacheId="143762506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889.054247800923" createdVersion="8" refreshedVersion="8" minRefreshableVersion="3" recordCount="100" xr:uid="{329D7A24-484E-4ABB-8DD2-3AF8FE4D878F}">
  <cacheSource type="worksheet">
    <worksheetSource name="Table3"/>
  </cacheSource>
  <cacheFields count="14">
    <cacheField name="Order_ID" numFmtId="0">
      <sharedItems/>
    </cacheField>
    <cacheField name="Customer_ID" numFmtId="0">
      <sharedItems/>
    </cacheField>
    <cacheField name="Product" numFmtId="0">
      <sharedItems/>
    </cacheField>
    <cacheField name="Category" numFmtId="0">
      <sharedItems/>
    </cacheField>
    <cacheField name="Order_Date" numFmtId="14">
      <sharedItems containsSemiMixedTypes="0" containsNonDate="0" containsDate="1" containsString="0" minDate="2024-01-05T00:00:00" maxDate="2024-05-21T00:00:00"/>
    </cacheField>
    <cacheField name="Ship_Date" numFmtId="14">
      <sharedItems containsSemiMixedTypes="0" containsNonDate="0" containsDate="1" containsString="0" minDate="2024-01-07T00:00:00" maxDate="2024-05-24T00:00:00"/>
    </cacheField>
    <cacheField name="State" numFmtId="0">
      <sharedItems count="29">
        <s v="Andhra Pradesh"/>
        <s v="Arunachal Pradesh"/>
        <s v="Assam"/>
        <s v="Bihar"/>
        <s v="Jammu Kashmir"/>
        <s v="Gujarat"/>
        <s v="Haryana"/>
        <s v="Himachal Pradesh"/>
        <s v="Jharkhand"/>
        <s v="Karnataka"/>
        <s v="Kerala"/>
        <s v="Ladakh"/>
        <s v="Maharashtra"/>
        <s v="Manipur"/>
        <s v="Meghalaya"/>
        <s v="Nagaland"/>
        <s v="Punjab"/>
        <s v="Rajasthan"/>
        <s v="Sikkim"/>
        <s v="Tripura"/>
        <s v="Telangana"/>
        <s v="Uttarakhand"/>
        <s v=" West Bengal"/>
        <s v="Madhya Pradesh"/>
        <s v="Mizoram"/>
        <s v="Odisha (Orissa)"/>
        <s v="Tamil Nadu"/>
        <s v="Chhattisgarh"/>
        <s v="Uttar Pradesh"/>
      </sharedItems>
    </cacheField>
    <cacheField name="Region" numFmtId="0">
      <sharedItems count="4">
        <s v="North"/>
        <s v="South"/>
        <s v="West"/>
        <s v="East"/>
      </sharedItems>
    </cacheField>
    <cacheField name="Quantity" numFmtId="0">
      <sharedItems containsSemiMixedTypes="0" containsString="0" containsNumber="1" containsInteger="1" minValue="1" maxValue="4"/>
    </cacheField>
    <cacheField name="Price" numFmtId="164">
      <sharedItems containsSemiMixedTypes="0" containsString="0" containsNumber="1" containsInteger="1" minValue="2000" maxValue="50000"/>
    </cacheField>
    <cacheField name="Discount(%)" numFmtId="0">
      <sharedItems containsSemiMixedTypes="0" containsString="0" containsNumber="1" containsInteger="1" minValue="0" maxValue="20"/>
    </cacheField>
    <cacheField name="Order_Value" numFmtId="164">
      <sharedItems containsSemiMixedTypes="0" containsString="0" containsNumber="1" containsInteger="1" minValue="2000" maxValue="47500" count="10">
        <n v="27000"/>
        <n v="47500"/>
        <n v="6000"/>
        <n v="2000"/>
        <n v="34000"/>
        <n v="16000"/>
        <n v="22500"/>
        <n v="28500"/>
        <n v="35000"/>
        <n v="6400"/>
      </sharedItems>
    </cacheField>
    <cacheField name="Profit" numFmtId="164">
      <sharedItems containsSemiMixedTypes="0" containsString="0" containsNumber="1" containsInteger="1" minValue="300" maxValue="6000"/>
    </cacheField>
    <cacheField name="Payment_Mode" numFmtId="0">
      <sharedItems/>
    </cacheField>
  </cacheFields>
  <extLst>
    <ext xmlns:x14="http://schemas.microsoft.com/office/spreadsheetml/2009/9/main" uri="{725AE2AE-9491-48be-B2B4-4EB974FC3084}">
      <x14:pivotCacheDefinition pivotCacheId="5748633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x v="0"/>
    <x v="0"/>
    <d v="2024-01-07T00:00:00"/>
    <x v="0"/>
    <n v="2"/>
    <n v="15000"/>
    <n v="10"/>
    <n v="27000"/>
    <n v="3500"/>
    <x v="0"/>
  </r>
  <r>
    <x v="1"/>
    <x v="1"/>
    <x v="1"/>
    <x v="0"/>
    <x v="1"/>
    <d v="2024-02-14T00:00:00"/>
    <x v="1"/>
    <n v="1"/>
    <n v="50000"/>
    <n v="5"/>
    <n v="47500"/>
    <n v="6000"/>
    <x v="1"/>
  </r>
  <r>
    <x v="2"/>
    <x v="2"/>
    <x v="2"/>
    <x v="1"/>
    <x v="2"/>
    <d v="2024-03-05T00:00:00"/>
    <x v="2"/>
    <n v="3"/>
    <n v="2000"/>
    <n v="0"/>
    <n v="6000"/>
    <n v="800"/>
    <x v="2"/>
  </r>
  <r>
    <x v="3"/>
    <x v="3"/>
    <x v="3"/>
    <x v="1"/>
    <x v="3"/>
    <d v="2024-03-22T00:00:00"/>
    <x v="3"/>
    <n v="1"/>
    <n v="2500"/>
    <n v="20"/>
    <n v="2000"/>
    <n v="300"/>
    <x v="3"/>
  </r>
  <r>
    <x v="4"/>
    <x v="4"/>
    <x v="4"/>
    <x v="0"/>
    <x v="4"/>
    <d v="2024-04-06T00:00:00"/>
    <x v="0"/>
    <n v="1"/>
    <n v="40000"/>
    <n v="15"/>
    <n v="34000"/>
    <n v="4500"/>
    <x v="4"/>
  </r>
  <r>
    <x v="5"/>
    <x v="5"/>
    <x v="5"/>
    <x v="2"/>
    <x v="5"/>
    <d v="2024-04-12T00:00:00"/>
    <x v="1"/>
    <n v="2"/>
    <n v="8000"/>
    <n v="0"/>
    <n v="16000"/>
    <n v="2500"/>
    <x v="0"/>
  </r>
  <r>
    <x v="6"/>
    <x v="6"/>
    <x v="6"/>
    <x v="0"/>
    <x v="6"/>
    <d v="2024-04-18T00:00:00"/>
    <x v="2"/>
    <n v="1"/>
    <n v="25000"/>
    <n v="10"/>
    <n v="22500"/>
    <n v="4000"/>
    <x v="1"/>
  </r>
  <r>
    <x v="7"/>
    <x v="7"/>
    <x v="7"/>
    <x v="2"/>
    <x v="7"/>
    <d v="2024-05-04T00:00:00"/>
    <x v="3"/>
    <n v="1"/>
    <n v="30000"/>
    <n v="5"/>
    <n v="28500"/>
    <n v="3500"/>
    <x v="2"/>
  </r>
  <r>
    <x v="8"/>
    <x v="8"/>
    <x v="8"/>
    <x v="2"/>
    <x v="8"/>
    <d v="2024-05-15T00:00:00"/>
    <x v="0"/>
    <n v="1"/>
    <n v="35000"/>
    <n v="0"/>
    <n v="35000"/>
    <n v="5000"/>
    <x v="0"/>
  </r>
  <r>
    <x v="9"/>
    <x v="9"/>
    <x v="9"/>
    <x v="0"/>
    <x v="9"/>
    <d v="2024-05-23T00:00:00"/>
    <x v="1"/>
    <n v="4"/>
    <n v="2000"/>
    <n v="20"/>
    <n v="6400"/>
    <n v="1200"/>
    <x v="3"/>
  </r>
  <r>
    <x v="10"/>
    <x v="10"/>
    <x v="0"/>
    <x v="0"/>
    <x v="0"/>
    <d v="2024-01-07T00:00:00"/>
    <x v="0"/>
    <n v="2"/>
    <n v="15000"/>
    <n v="10"/>
    <n v="27000"/>
    <n v="3500"/>
    <x v="0"/>
  </r>
  <r>
    <x v="11"/>
    <x v="11"/>
    <x v="1"/>
    <x v="0"/>
    <x v="1"/>
    <d v="2024-02-14T00:00:00"/>
    <x v="1"/>
    <n v="1"/>
    <n v="50000"/>
    <n v="5"/>
    <n v="47500"/>
    <n v="6000"/>
    <x v="1"/>
  </r>
  <r>
    <x v="12"/>
    <x v="12"/>
    <x v="2"/>
    <x v="1"/>
    <x v="2"/>
    <d v="2024-03-05T00:00:00"/>
    <x v="2"/>
    <n v="3"/>
    <n v="2000"/>
    <n v="0"/>
    <n v="6000"/>
    <n v="800"/>
    <x v="2"/>
  </r>
  <r>
    <x v="13"/>
    <x v="13"/>
    <x v="3"/>
    <x v="1"/>
    <x v="3"/>
    <d v="2024-03-22T00:00:00"/>
    <x v="3"/>
    <n v="1"/>
    <n v="2500"/>
    <n v="20"/>
    <n v="2000"/>
    <n v="300"/>
    <x v="3"/>
  </r>
  <r>
    <x v="14"/>
    <x v="14"/>
    <x v="4"/>
    <x v="0"/>
    <x v="4"/>
    <d v="2024-04-06T00:00:00"/>
    <x v="0"/>
    <n v="1"/>
    <n v="40000"/>
    <n v="15"/>
    <n v="34000"/>
    <n v="4500"/>
    <x v="4"/>
  </r>
  <r>
    <x v="15"/>
    <x v="15"/>
    <x v="5"/>
    <x v="2"/>
    <x v="5"/>
    <d v="2024-04-12T00:00:00"/>
    <x v="1"/>
    <n v="2"/>
    <n v="8000"/>
    <n v="0"/>
    <n v="16000"/>
    <n v="2500"/>
    <x v="0"/>
  </r>
  <r>
    <x v="16"/>
    <x v="16"/>
    <x v="6"/>
    <x v="0"/>
    <x v="6"/>
    <d v="2024-04-18T00:00:00"/>
    <x v="2"/>
    <n v="1"/>
    <n v="25000"/>
    <n v="10"/>
    <n v="22500"/>
    <n v="4000"/>
    <x v="1"/>
  </r>
  <r>
    <x v="17"/>
    <x v="17"/>
    <x v="7"/>
    <x v="2"/>
    <x v="7"/>
    <d v="2024-05-04T00:00:00"/>
    <x v="3"/>
    <n v="1"/>
    <n v="30000"/>
    <n v="5"/>
    <n v="28500"/>
    <n v="3500"/>
    <x v="2"/>
  </r>
  <r>
    <x v="18"/>
    <x v="18"/>
    <x v="8"/>
    <x v="2"/>
    <x v="8"/>
    <d v="2024-05-15T00:00:00"/>
    <x v="0"/>
    <n v="1"/>
    <n v="35000"/>
    <n v="0"/>
    <n v="35000"/>
    <n v="5000"/>
    <x v="0"/>
  </r>
  <r>
    <x v="19"/>
    <x v="19"/>
    <x v="9"/>
    <x v="0"/>
    <x v="9"/>
    <d v="2024-05-23T00:00:00"/>
    <x v="1"/>
    <n v="4"/>
    <n v="2000"/>
    <n v="20"/>
    <n v="6400"/>
    <n v="1200"/>
    <x v="3"/>
  </r>
  <r>
    <x v="20"/>
    <x v="20"/>
    <x v="0"/>
    <x v="0"/>
    <x v="0"/>
    <d v="2024-01-07T00:00:00"/>
    <x v="0"/>
    <n v="2"/>
    <n v="15000"/>
    <n v="10"/>
    <n v="27000"/>
    <n v="3500"/>
    <x v="0"/>
  </r>
  <r>
    <x v="21"/>
    <x v="21"/>
    <x v="1"/>
    <x v="0"/>
    <x v="1"/>
    <d v="2024-02-14T00:00:00"/>
    <x v="1"/>
    <n v="1"/>
    <n v="50000"/>
    <n v="5"/>
    <n v="47500"/>
    <n v="6000"/>
    <x v="1"/>
  </r>
  <r>
    <x v="22"/>
    <x v="22"/>
    <x v="2"/>
    <x v="1"/>
    <x v="2"/>
    <d v="2024-03-05T00:00:00"/>
    <x v="2"/>
    <n v="3"/>
    <n v="2000"/>
    <n v="0"/>
    <n v="6000"/>
    <n v="800"/>
    <x v="2"/>
  </r>
  <r>
    <x v="23"/>
    <x v="23"/>
    <x v="3"/>
    <x v="1"/>
    <x v="3"/>
    <d v="2024-03-22T00:00:00"/>
    <x v="3"/>
    <n v="1"/>
    <n v="2500"/>
    <n v="20"/>
    <n v="2000"/>
    <n v="300"/>
    <x v="3"/>
  </r>
  <r>
    <x v="24"/>
    <x v="24"/>
    <x v="4"/>
    <x v="0"/>
    <x v="4"/>
    <d v="2024-04-06T00:00:00"/>
    <x v="0"/>
    <n v="1"/>
    <n v="40000"/>
    <n v="15"/>
    <n v="34000"/>
    <n v="4500"/>
    <x v="4"/>
  </r>
  <r>
    <x v="25"/>
    <x v="25"/>
    <x v="5"/>
    <x v="2"/>
    <x v="5"/>
    <d v="2024-04-12T00:00:00"/>
    <x v="1"/>
    <n v="2"/>
    <n v="8000"/>
    <n v="0"/>
    <n v="16000"/>
    <n v="2500"/>
    <x v="0"/>
  </r>
  <r>
    <x v="26"/>
    <x v="26"/>
    <x v="6"/>
    <x v="0"/>
    <x v="6"/>
    <d v="2024-04-18T00:00:00"/>
    <x v="2"/>
    <n v="1"/>
    <n v="25000"/>
    <n v="10"/>
    <n v="22500"/>
    <n v="4000"/>
    <x v="1"/>
  </r>
  <r>
    <x v="27"/>
    <x v="27"/>
    <x v="7"/>
    <x v="2"/>
    <x v="7"/>
    <d v="2024-05-04T00:00:00"/>
    <x v="3"/>
    <n v="1"/>
    <n v="30000"/>
    <n v="5"/>
    <n v="28500"/>
    <n v="3500"/>
    <x v="2"/>
  </r>
  <r>
    <x v="28"/>
    <x v="28"/>
    <x v="8"/>
    <x v="2"/>
    <x v="8"/>
    <d v="2024-05-15T00:00:00"/>
    <x v="0"/>
    <n v="1"/>
    <n v="35000"/>
    <n v="0"/>
    <n v="35000"/>
    <n v="5000"/>
    <x v="0"/>
  </r>
  <r>
    <x v="29"/>
    <x v="29"/>
    <x v="9"/>
    <x v="0"/>
    <x v="9"/>
    <d v="2024-05-23T00:00:00"/>
    <x v="1"/>
    <n v="4"/>
    <n v="2000"/>
    <n v="20"/>
    <n v="6400"/>
    <n v="1200"/>
    <x v="3"/>
  </r>
  <r>
    <x v="30"/>
    <x v="30"/>
    <x v="0"/>
    <x v="0"/>
    <x v="0"/>
    <d v="2024-01-07T00:00:00"/>
    <x v="0"/>
    <n v="2"/>
    <n v="15000"/>
    <n v="10"/>
    <n v="27000"/>
    <n v="3500"/>
    <x v="0"/>
  </r>
  <r>
    <x v="31"/>
    <x v="31"/>
    <x v="1"/>
    <x v="0"/>
    <x v="1"/>
    <d v="2024-02-14T00:00:00"/>
    <x v="1"/>
    <n v="1"/>
    <n v="50000"/>
    <n v="5"/>
    <n v="47500"/>
    <n v="6000"/>
    <x v="1"/>
  </r>
  <r>
    <x v="32"/>
    <x v="32"/>
    <x v="2"/>
    <x v="1"/>
    <x v="2"/>
    <d v="2024-03-05T00:00:00"/>
    <x v="2"/>
    <n v="3"/>
    <n v="2000"/>
    <n v="0"/>
    <n v="6000"/>
    <n v="800"/>
    <x v="2"/>
  </r>
  <r>
    <x v="33"/>
    <x v="33"/>
    <x v="3"/>
    <x v="1"/>
    <x v="3"/>
    <d v="2024-03-22T00:00:00"/>
    <x v="3"/>
    <n v="1"/>
    <n v="2500"/>
    <n v="20"/>
    <n v="2000"/>
    <n v="300"/>
    <x v="3"/>
  </r>
  <r>
    <x v="34"/>
    <x v="34"/>
    <x v="4"/>
    <x v="0"/>
    <x v="4"/>
    <d v="2024-04-06T00:00:00"/>
    <x v="0"/>
    <n v="1"/>
    <n v="40000"/>
    <n v="15"/>
    <n v="34000"/>
    <n v="4500"/>
    <x v="4"/>
  </r>
  <r>
    <x v="35"/>
    <x v="35"/>
    <x v="5"/>
    <x v="2"/>
    <x v="5"/>
    <d v="2024-04-12T00:00:00"/>
    <x v="1"/>
    <n v="2"/>
    <n v="8000"/>
    <n v="0"/>
    <n v="16000"/>
    <n v="2500"/>
    <x v="0"/>
  </r>
  <r>
    <x v="36"/>
    <x v="36"/>
    <x v="6"/>
    <x v="0"/>
    <x v="6"/>
    <d v="2024-04-18T00:00:00"/>
    <x v="2"/>
    <n v="1"/>
    <n v="25000"/>
    <n v="10"/>
    <n v="22500"/>
    <n v="4000"/>
    <x v="1"/>
  </r>
  <r>
    <x v="37"/>
    <x v="37"/>
    <x v="7"/>
    <x v="2"/>
    <x v="7"/>
    <d v="2024-05-04T00:00:00"/>
    <x v="3"/>
    <n v="1"/>
    <n v="30000"/>
    <n v="5"/>
    <n v="28500"/>
    <n v="3500"/>
    <x v="2"/>
  </r>
  <r>
    <x v="38"/>
    <x v="38"/>
    <x v="5"/>
    <x v="2"/>
    <x v="5"/>
    <d v="2024-04-12T00:00:00"/>
    <x v="1"/>
    <n v="2"/>
    <n v="8000"/>
    <n v="0"/>
    <n v="16000"/>
    <n v="2500"/>
    <x v="0"/>
  </r>
  <r>
    <x v="39"/>
    <x v="39"/>
    <x v="6"/>
    <x v="0"/>
    <x v="6"/>
    <d v="2024-04-18T00:00:00"/>
    <x v="2"/>
    <n v="1"/>
    <n v="25000"/>
    <n v="10"/>
    <n v="22500"/>
    <n v="4000"/>
    <x v="1"/>
  </r>
  <r>
    <x v="40"/>
    <x v="40"/>
    <x v="7"/>
    <x v="2"/>
    <x v="7"/>
    <d v="2024-05-04T00:00:00"/>
    <x v="3"/>
    <n v="1"/>
    <n v="30000"/>
    <n v="5"/>
    <n v="28500"/>
    <n v="3500"/>
    <x v="2"/>
  </r>
  <r>
    <x v="41"/>
    <x v="41"/>
    <x v="8"/>
    <x v="2"/>
    <x v="8"/>
    <d v="2024-05-15T00:00:00"/>
    <x v="0"/>
    <n v="1"/>
    <n v="35000"/>
    <n v="0"/>
    <n v="35000"/>
    <n v="5000"/>
    <x v="0"/>
  </r>
  <r>
    <x v="42"/>
    <x v="42"/>
    <x v="9"/>
    <x v="0"/>
    <x v="9"/>
    <d v="2024-05-23T00:00:00"/>
    <x v="1"/>
    <n v="4"/>
    <n v="2000"/>
    <n v="20"/>
    <n v="6400"/>
    <n v="1200"/>
    <x v="3"/>
  </r>
  <r>
    <x v="43"/>
    <x v="43"/>
    <x v="0"/>
    <x v="0"/>
    <x v="0"/>
    <d v="2024-01-07T00:00:00"/>
    <x v="0"/>
    <n v="2"/>
    <n v="15000"/>
    <n v="10"/>
    <n v="27000"/>
    <n v="3500"/>
    <x v="0"/>
  </r>
  <r>
    <x v="44"/>
    <x v="44"/>
    <x v="1"/>
    <x v="0"/>
    <x v="1"/>
    <d v="2024-02-14T00:00:00"/>
    <x v="1"/>
    <n v="1"/>
    <n v="50000"/>
    <n v="5"/>
    <n v="47500"/>
    <n v="6000"/>
    <x v="1"/>
  </r>
  <r>
    <x v="45"/>
    <x v="45"/>
    <x v="2"/>
    <x v="1"/>
    <x v="2"/>
    <d v="2024-03-05T00:00:00"/>
    <x v="2"/>
    <n v="3"/>
    <n v="2000"/>
    <n v="0"/>
    <n v="6000"/>
    <n v="800"/>
    <x v="2"/>
  </r>
  <r>
    <x v="46"/>
    <x v="46"/>
    <x v="3"/>
    <x v="1"/>
    <x v="3"/>
    <d v="2024-03-22T00:00:00"/>
    <x v="3"/>
    <n v="1"/>
    <n v="2500"/>
    <n v="20"/>
    <n v="2000"/>
    <n v="300"/>
    <x v="3"/>
  </r>
  <r>
    <x v="47"/>
    <x v="47"/>
    <x v="4"/>
    <x v="0"/>
    <x v="4"/>
    <d v="2024-04-06T00:00:00"/>
    <x v="0"/>
    <n v="1"/>
    <n v="40000"/>
    <n v="15"/>
    <n v="34000"/>
    <n v="4500"/>
    <x v="4"/>
  </r>
  <r>
    <x v="48"/>
    <x v="48"/>
    <x v="5"/>
    <x v="2"/>
    <x v="5"/>
    <d v="2024-04-12T00:00:00"/>
    <x v="1"/>
    <n v="2"/>
    <n v="8000"/>
    <n v="0"/>
    <n v="16000"/>
    <n v="2500"/>
    <x v="0"/>
  </r>
  <r>
    <x v="49"/>
    <x v="49"/>
    <x v="6"/>
    <x v="0"/>
    <x v="6"/>
    <d v="2024-04-18T00:00:00"/>
    <x v="2"/>
    <n v="1"/>
    <n v="25000"/>
    <n v="10"/>
    <n v="22500"/>
    <n v="4000"/>
    <x v="1"/>
  </r>
  <r>
    <x v="50"/>
    <x v="50"/>
    <x v="7"/>
    <x v="2"/>
    <x v="7"/>
    <d v="2024-05-04T00:00:00"/>
    <x v="3"/>
    <n v="1"/>
    <n v="30000"/>
    <n v="5"/>
    <n v="28500"/>
    <n v="3500"/>
    <x v="2"/>
  </r>
  <r>
    <x v="51"/>
    <x v="51"/>
    <x v="8"/>
    <x v="2"/>
    <x v="8"/>
    <d v="2024-05-15T00:00:00"/>
    <x v="0"/>
    <n v="1"/>
    <n v="35000"/>
    <n v="0"/>
    <n v="35000"/>
    <n v="5000"/>
    <x v="0"/>
  </r>
  <r>
    <x v="52"/>
    <x v="52"/>
    <x v="9"/>
    <x v="0"/>
    <x v="9"/>
    <d v="2024-05-23T00:00:00"/>
    <x v="1"/>
    <n v="4"/>
    <n v="2000"/>
    <n v="20"/>
    <n v="6400"/>
    <n v="1200"/>
    <x v="3"/>
  </r>
  <r>
    <x v="53"/>
    <x v="53"/>
    <x v="0"/>
    <x v="0"/>
    <x v="0"/>
    <d v="2024-01-07T00:00:00"/>
    <x v="0"/>
    <n v="2"/>
    <n v="15000"/>
    <n v="10"/>
    <n v="27000"/>
    <n v="3500"/>
    <x v="0"/>
  </r>
  <r>
    <x v="54"/>
    <x v="54"/>
    <x v="1"/>
    <x v="0"/>
    <x v="1"/>
    <d v="2024-02-14T00:00:00"/>
    <x v="1"/>
    <n v="1"/>
    <n v="50000"/>
    <n v="5"/>
    <n v="47500"/>
    <n v="6000"/>
    <x v="1"/>
  </r>
  <r>
    <x v="55"/>
    <x v="55"/>
    <x v="2"/>
    <x v="1"/>
    <x v="2"/>
    <d v="2024-03-05T00:00:00"/>
    <x v="2"/>
    <n v="3"/>
    <n v="2000"/>
    <n v="0"/>
    <n v="6000"/>
    <n v="800"/>
    <x v="2"/>
  </r>
  <r>
    <x v="56"/>
    <x v="56"/>
    <x v="3"/>
    <x v="1"/>
    <x v="3"/>
    <d v="2024-03-22T00:00:00"/>
    <x v="3"/>
    <n v="1"/>
    <n v="2500"/>
    <n v="20"/>
    <n v="2000"/>
    <n v="300"/>
    <x v="3"/>
  </r>
  <r>
    <x v="57"/>
    <x v="57"/>
    <x v="4"/>
    <x v="0"/>
    <x v="4"/>
    <d v="2024-04-06T00:00:00"/>
    <x v="0"/>
    <n v="1"/>
    <n v="40000"/>
    <n v="15"/>
    <n v="34000"/>
    <n v="4500"/>
    <x v="4"/>
  </r>
  <r>
    <x v="58"/>
    <x v="58"/>
    <x v="0"/>
    <x v="0"/>
    <x v="0"/>
    <d v="2024-01-07T00:00:00"/>
    <x v="0"/>
    <n v="2"/>
    <n v="15000"/>
    <n v="10"/>
    <n v="27000"/>
    <n v="3500"/>
    <x v="0"/>
  </r>
  <r>
    <x v="59"/>
    <x v="59"/>
    <x v="1"/>
    <x v="0"/>
    <x v="1"/>
    <d v="2024-02-14T00:00:00"/>
    <x v="1"/>
    <n v="1"/>
    <n v="50000"/>
    <n v="5"/>
    <n v="47500"/>
    <n v="6000"/>
    <x v="1"/>
  </r>
  <r>
    <x v="60"/>
    <x v="60"/>
    <x v="2"/>
    <x v="1"/>
    <x v="2"/>
    <d v="2024-03-05T00:00:00"/>
    <x v="2"/>
    <n v="3"/>
    <n v="2000"/>
    <n v="0"/>
    <n v="6000"/>
    <n v="800"/>
    <x v="2"/>
  </r>
  <r>
    <x v="61"/>
    <x v="61"/>
    <x v="3"/>
    <x v="1"/>
    <x v="3"/>
    <d v="2024-03-22T00:00:00"/>
    <x v="3"/>
    <n v="1"/>
    <n v="2500"/>
    <n v="20"/>
    <n v="2000"/>
    <n v="300"/>
    <x v="3"/>
  </r>
  <r>
    <x v="62"/>
    <x v="62"/>
    <x v="4"/>
    <x v="0"/>
    <x v="4"/>
    <d v="2024-04-06T00:00:00"/>
    <x v="0"/>
    <n v="1"/>
    <n v="40000"/>
    <n v="15"/>
    <n v="34000"/>
    <n v="4500"/>
    <x v="4"/>
  </r>
  <r>
    <x v="63"/>
    <x v="63"/>
    <x v="5"/>
    <x v="2"/>
    <x v="5"/>
    <d v="2024-04-12T00:00:00"/>
    <x v="1"/>
    <n v="2"/>
    <n v="8000"/>
    <n v="0"/>
    <n v="16000"/>
    <n v="2500"/>
    <x v="0"/>
  </r>
  <r>
    <x v="64"/>
    <x v="64"/>
    <x v="6"/>
    <x v="0"/>
    <x v="6"/>
    <d v="2024-04-18T00:00:00"/>
    <x v="2"/>
    <n v="1"/>
    <n v="25000"/>
    <n v="10"/>
    <n v="22500"/>
    <n v="4000"/>
    <x v="1"/>
  </r>
  <r>
    <x v="65"/>
    <x v="65"/>
    <x v="7"/>
    <x v="2"/>
    <x v="7"/>
    <d v="2024-05-04T00:00:00"/>
    <x v="3"/>
    <n v="1"/>
    <n v="30000"/>
    <n v="5"/>
    <n v="28500"/>
    <n v="3500"/>
    <x v="2"/>
  </r>
  <r>
    <x v="66"/>
    <x v="66"/>
    <x v="8"/>
    <x v="2"/>
    <x v="8"/>
    <d v="2024-05-15T00:00:00"/>
    <x v="0"/>
    <n v="1"/>
    <n v="35000"/>
    <n v="0"/>
    <n v="35000"/>
    <n v="5000"/>
    <x v="0"/>
  </r>
  <r>
    <x v="67"/>
    <x v="67"/>
    <x v="0"/>
    <x v="0"/>
    <x v="0"/>
    <d v="2024-01-07T00:00:00"/>
    <x v="0"/>
    <n v="2"/>
    <n v="15000"/>
    <n v="10"/>
    <n v="27000"/>
    <n v="3500"/>
    <x v="0"/>
  </r>
  <r>
    <x v="68"/>
    <x v="68"/>
    <x v="1"/>
    <x v="0"/>
    <x v="1"/>
    <d v="2024-02-14T00:00:00"/>
    <x v="1"/>
    <n v="1"/>
    <n v="50000"/>
    <n v="5"/>
    <n v="47500"/>
    <n v="6000"/>
    <x v="1"/>
  </r>
  <r>
    <x v="69"/>
    <x v="69"/>
    <x v="2"/>
    <x v="1"/>
    <x v="2"/>
    <d v="2024-03-05T00:00:00"/>
    <x v="2"/>
    <n v="3"/>
    <n v="2000"/>
    <n v="0"/>
    <n v="6000"/>
    <n v="800"/>
    <x v="2"/>
  </r>
  <r>
    <x v="70"/>
    <x v="70"/>
    <x v="3"/>
    <x v="1"/>
    <x v="3"/>
    <d v="2024-03-22T00:00:00"/>
    <x v="3"/>
    <n v="1"/>
    <n v="2500"/>
    <n v="20"/>
    <n v="2000"/>
    <n v="300"/>
    <x v="3"/>
  </r>
  <r>
    <x v="71"/>
    <x v="71"/>
    <x v="4"/>
    <x v="0"/>
    <x v="4"/>
    <d v="2024-04-06T00:00:00"/>
    <x v="0"/>
    <n v="1"/>
    <n v="40000"/>
    <n v="15"/>
    <n v="34000"/>
    <n v="4500"/>
    <x v="4"/>
  </r>
  <r>
    <x v="72"/>
    <x v="72"/>
    <x v="0"/>
    <x v="0"/>
    <x v="0"/>
    <d v="2024-01-07T00:00:00"/>
    <x v="0"/>
    <n v="2"/>
    <n v="15000"/>
    <n v="10"/>
    <n v="27000"/>
    <n v="3500"/>
    <x v="0"/>
  </r>
  <r>
    <x v="73"/>
    <x v="73"/>
    <x v="1"/>
    <x v="0"/>
    <x v="1"/>
    <d v="2024-02-14T00:00:00"/>
    <x v="1"/>
    <n v="1"/>
    <n v="50000"/>
    <n v="5"/>
    <n v="47500"/>
    <n v="6000"/>
    <x v="1"/>
  </r>
  <r>
    <x v="74"/>
    <x v="74"/>
    <x v="2"/>
    <x v="1"/>
    <x v="2"/>
    <d v="2024-03-05T00:00:00"/>
    <x v="2"/>
    <n v="3"/>
    <n v="2000"/>
    <n v="0"/>
    <n v="6000"/>
    <n v="800"/>
    <x v="2"/>
  </r>
  <r>
    <x v="75"/>
    <x v="75"/>
    <x v="3"/>
    <x v="1"/>
    <x v="3"/>
    <d v="2024-03-22T00:00:00"/>
    <x v="3"/>
    <n v="1"/>
    <n v="2500"/>
    <n v="20"/>
    <n v="2000"/>
    <n v="300"/>
    <x v="3"/>
  </r>
  <r>
    <x v="76"/>
    <x v="76"/>
    <x v="4"/>
    <x v="0"/>
    <x v="4"/>
    <d v="2024-04-06T00:00:00"/>
    <x v="0"/>
    <n v="1"/>
    <n v="40000"/>
    <n v="15"/>
    <n v="34000"/>
    <n v="4500"/>
    <x v="4"/>
  </r>
  <r>
    <x v="77"/>
    <x v="77"/>
    <x v="5"/>
    <x v="2"/>
    <x v="5"/>
    <d v="2024-04-12T00:00:00"/>
    <x v="1"/>
    <n v="2"/>
    <n v="8000"/>
    <n v="0"/>
    <n v="16000"/>
    <n v="2500"/>
    <x v="0"/>
  </r>
  <r>
    <x v="78"/>
    <x v="78"/>
    <x v="6"/>
    <x v="0"/>
    <x v="6"/>
    <d v="2024-04-18T00:00:00"/>
    <x v="2"/>
    <n v="1"/>
    <n v="25000"/>
    <n v="10"/>
    <n v="22500"/>
    <n v="4000"/>
    <x v="1"/>
  </r>
  <r>
    <x v="79"/>
    <x v="79"/>
    <x v="7"/>
    <x v="2"/>
    <x v="7"/>
    <d v="2024-05-04T00:00:00"/>
    <x v="3"/>
    <n v="1"/>
    <n v="30000"/>
    <n v="5"/>
    <n v="28500"/>
    <n v="3500"/>
    <x v="2"/>
  </r>
  <r>
    <x v="80"/>
    <x v="80"/>
    <x v="8"/>
    <x v="2"/>
    <x v="8"/>
    <d v="2024-05-15T00:00:00"/>
    <x v="0"/>
    <n v="1"/>
    <n v="35000"/>
    <n v="0"/>
    <n v="35000"/>
    <n v="5000"/>
    <x v="0"/>
  </r>
  <r>
    <x v="81"/>
    <x v="81"/>
    <x v="0"/>
    <x v="0"/>
    <x v="0"/>
    <d v="2024-01-07T00:00:00"/>
    <x v="0"/>
    <n v="2"/>
    <n v="15000"/>
    <n v="10"/>
    <n v="27000"/>
    <n v="3500"/>
    <x v="0"/>
  </r>
  <r>
    <x v="82"/>
    <x v="82"/>
    <x v="1"/>
    <x v="0"/>
    <x v="1"/>
    <d v="2024-02-14T00:00:00"/>
    <x v="1"/>
    <n v="1"/>
    <n v="50000"/>
    <n v="5"/>
    <n v="47500"/>
    <n v="6000"/>
    <x v="1"/>
  </r>
  <r>
    <x v="83"/>
    <x v="83"/>
    <x v="2"/>
    <x v="1"/>
    <x v="2"/>
    <d v="2024-03-05T00:00:00"/>
    <x v="2"/>
    <n v="3"/>
    <n v="2000"/>
    <n v="0"/>
    <n v="6000"/>
    <n v="800"/>
    <x v="2"/>
  </r>
  <r>
    <x v="84"/>
    <x v="84"/>
    <x v="3"/>
    <x v="1"/>
    <x v="3"/>
    <d v="2024-03-22T00:00:00"/>
    <x v="3"/>
    <n v="1"/>
    <n v="2500"/>
    <n v="20"/>
    <n v="2000"/>
    <n v="300"/>
    <x v="3"/>
  </r>
  <r>
    <x v="85"/>
    <x v="85"/>
    <x v="4"/>
    <x v="0"/>
    <x v="4"/>
    <d v="2024-04-06T00:00:00"/>
    <x v="0"/>
    <n v="1"/>
    <n v="40000"/>
    <n v="15"/>
    <n v="34000"/>
    <n v="4500"/>
    <x v="4"/>
  </r>
  <r>
    <x v="86"/>
    <x v="86"/>
    <x v="5"/>
    <x v="2"/>
    <x v="5"/>
    <d v="2024-04-12T00:00:00"/>
    <x v="1"/>
    <n v="2"/>
    <n v="8000"/>
    <n v="0"/>
    <n v="16000"/>
    <n v="2500"/>
    <x v="0"/>
  </r>
  <r>
    <x v="87"/>
    <x v="87"/>
    <x v="6"/>
    <x v="0"/>
    <x v="6"/>
    <d v="2024-04-18T00:00:00"/>
    <x v="2"/>
    <n v="1"/>
    <n v="25000"/>
    <n v="10"/>
    <n v="22500"/>
    <n v="4000"/>
    <x v="1"/>
  </r>
  <r>
    <x v="88"/>
    <x v="88"/>
    <x v="7"/>
    <x v="2"/>
    <x v="7"/>
    <d v="2024-05-04T00:00:00"/>
    <x v="3"/>
    <n v="1"/>
    <n v="30000"/>
    <n v="5"/>
    <n v="28500"/>
    <n v="3500"/>
    <x v="2"/>
  </r>
  <r>
    <x v="89"/>
    <x v="89"/>
    <x v="8"/>
    <x v="2"/>
    <x v="8"/>
    <d v="2024-05-15T00:00:00"/>
    <x v="0"/>
    <n v="1"/>
    <n v="35000"/>
    <n v="0"/>
    <n v="35000"/>
    <n v="5000"/>
    <x v="0"/>
  </r>
  <r>
    <x v="90"/>
    <x v="90"/>
    <x v="0"/>
    <x v="0"/>
    <x v="0"/>
    <d v="2024-01-07T00:00:00"/>
    <x v="0"/>
    <n v="2"/>
    <n v="15000"/>
    <n v="10"/>
    <n v="27000"/>
    <n v="3500"/>
    <x v="0"/>
  </r>
  <r>
    <x v="91"/>
    <x v="91"/>
    <x v="1"/>
    <x v="0"/>
    <x v="1"/>
    <d v="2024-02-14T00:00:00"/>
    <x v="1"/>
    <n v="1"/>
    <n v="50000"/>
    <n v="5"/>
    <n v="47500"/>
    <n v="6000"/>
    <x v="1"/>
  </r>
  <r>
    <x v="92"/>
    <x v="92"/>
    <x v="2"/>
    <x v="1"/>
    <x v="2"/>
    <d v="2024-03-05T00:00:00"/>
    <x v="2"/>
    <n v="3"/>
    <n v="2000"/>
    <n v="0"/>
    <n v="6000"/>
    <n v="800"/>
    <x v="2"/>
  </r>
  <r>
    <x v="93"/>
    <x v="93"/>
    <x v="3"/>
    <x v="1"/>
    <x v="3"/>
    <d v="2024-03-22T00:00:00"/>
    <x v="3"/>
    <n v="1"/>
    <n v="2500"/>
    <n v="20"/>
    <n v="2000"/>
    <n v="300"/>
    <x v="3"/>
  </r>
  <r>
    <x v="94"/>
    <x v="94"/>
    <x v="4"/>
    <x v="0"/>
    <x v="4"/>
    <d v="2024-04-06T00:00:00"/>
    <x v="0"/>
    <n v="1"/>
    <n v="40000"/>
    <n v="15"/>
    <n v="34000"/>
    <n v="4500"/>
    <x v="4"/>
  </r>
  <r>
    <x v="95"/>
    <x v="95"/>
    <x v="0"/>
    <x v="0"/>
    <x v="0"/>
    <d v="2024-01-07T00:00:00"/>
    <x v="0"/>
    <n v="2"/>
    <n v="15000"/>
    <n v="10"/>
    <n v="27000"/>
    <n v="3500"/>
    <x v="0"/>
  </r>
  <r>
    <x v="96"/>
    <x v="96"/>
    <x v="1"/>
    <x v="0"/>
    <x v="1"/>
    <d v="2024-02-14T00:00:00"/>
    <x v="1"/>
    <n v="1"/>
    <n v="50000"/>
    <n v="5"/>
    <n v="47500"/>
    <n v="6000"/>
    <x v="1"/>
  </r>
  <r>
    <x v="97"/>
    <x v="97"/>
    <x v="2"/>
    <x v="1"/>
    <x v="2"/>
    <d v="2024-03-05T00:00:00"/>
    <x v="2"/>
    <n v="3"/>
    <n v="2000"/>
    <n v="0"/>
    <n v="6000"/>
    <n v="800"/>
    <x v="2"/>
  </r>
  <r>
    <x v="98"/>
    <x v="98"/>
    <x v="3"/>
    <x v="1"/>
    <x v="3"/>
    <d v="2024-03-22T00:00:00"/>
    <x v="3"/>
    <n v="1"/>
    <n v="2500"/>
    <n v="20"/>
    <n v="2000"/>
    <n v="300"/>
    <x v="3"/>
  </r>
  <r>
    <x v="99"/>
    <x v="99"/>
    <x v="7"/>
    <x v="2"/>
    <x v="7"/>
    <d v="2024-05-04T00:00:00"/>
    <x v="3"/>
    <n v="1"/>
    <n v="30000"/>
    <n v="5"/>
    <n v="28500"/>
    <n v="3500"/>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1001"/>
    <s v="CUST101"/>
    <s v="Mobile"/>
    <s v="Electronics"/>
    <d v="2024-01-05T00:00:00"/>
    <d v="2024-01-07T00:00:00"/>
    <x v="0"/>
    <x v="0"/>
    <n v="2"/>
    <n v="15000"/>
    <n v="10"/>
    <x v="0"/>
    <n v="3500"/>
    <s v="UPI"/>
  </r>
  <r>
    <s v="ORD1002"/>
    <s v="CUST102"/>
    <s v="Laptop"/>
    <s v="Electronics"/>
    <d v="2024-02-10T00:00:00"/>
    <d v="2024-02-14T00:00:00"/>
    <x v="1"/>
    <x v="1"/>
    <n v="1"/>
    <n v="50000"/>
    <n v="5"/>
    <x v="1"/>
    <n v="6000"/>
    <s v="Credit Card"/>
  </r>
  <r>
    <s v="ORD1003"/>
    <s v="CUST103"/>
    <s v="Shoes"/>
    <s v="Fashion"/>
    <d v="2024-03-03T00:00:00"/>
    <d v="2024-03-05T00:00:00"/>
    <x v="2"/>
    <x v="2"/>
    <n v="3"/>
    <n v="2000"/>
    <n v="0"/>
    <x v="2"/>
    <n v="800"/>
    <s v="COD"/>
  </r>
  <r>
    <s v="ORD1004"/>
    <s v="CUST104"/>
    <s v="Watch"/>
    <s v="Fashion"/>
    <d v="2024-03-20T00:00:00"/>
    <d v="2024-03-22T00:00:00"/>
    <x v="3"/>
    <x v="3"/>
    <n v="1"/>
    <n v="2500"/>
    <n v="20"/>
    <x v="3"/>
    <n v="300"/>
    <s v="Wallet"/>
  </r>
  <r>
    <s v="ORD1005"/>
    <s v="CUST105"/>
    <s v="TV"/>
    <s v="Electronics"/>
    <d v="2024-04-01T00:00:00"/>
    <d v="2024-04-06T00:00:00"/>
    <x v="4"/>
    <x v="0"/>
    <n v="1"/>
    <n v="40000"/>
    <n v="15"/>
    <x v="4"/>
    <n v="4500"/>
    <s v="Debit Card"/>
  </r>
  <r>
    <s v="ORD1006"/>
    <s v="CUST106"/>
    <s v="Microwave"/>
    <s v="Home Appliance"/>
    <d v="2024-04-08T00:00:00"/>
    <d v="2024-04-12T00:00:00"/>
    <x v="5"/>
    <x v="1"/>
    <n v="2"/>
    <n v="8000"/>
    <n v="0"/>
    <x v="5"/>
    <n v="2500"/>
    <s v="UPI"/>
  </r>
  <r>
    <s v="ORD1007"/>
    <s v="CUST107"/>
    <s v="Camera"/>
    <s v="Electronics"/>
    <d v="2024-04-15T00:00:00"/>
    <d v="2024-04-18T00:00:00"/>
    <x v="6"/>
    <x v="2"/>
    <n v="1"/>
    <n v="25000"/>
    <n v="10"/>
    <x v="6"/>
    <n v="4000"/>
    <s v="Credit Card"/>
  </r>
  <r>
    <s v="ORD1008"/>
    <s v="CUST108"/>
    <s v="Refrigerator"/>
    <s v="Home Appliance"/>
    <d v="2024-05-01T00:00:00"/>
    <d v="2024-05-04T00:00:00"/>
    <x v="7"/>
    <x v="3"/>
    <n v="1"/>
    <n v="30000"/>
    <n v="5"/>
    <x v="7"/>
    <n v="3500"/>
    <s v="COD"/>
  </r>
  <r>
    <s v="ORD1009"/>
    <s v="CUST109"/>
    <s v="AC"/>
    <s v="Home Appliance"/>
    <d v="2024-05-10T00:00:00"/>
    <d v="2024-05-15T00:00:00"/>
    <x v="8"/>
    <x v="0"/>
    <n v="1"/>
    <n v="35000"/>
    <n v="0"/>
    <x v="8"/>
    <n v="5000"/>
    <s v="UPI"/>
  </r>
  <r>
    <s v="ORD1010"/>
    <s v="CUST110"/>
    <s v="Headphones"/>
    <s v="Electronics"/>
    <d v="2024-05-20T00:00:00"/>
    <d v="2024-05-23T00:00:00"/>
    <x v="9"/>
    <x v="1"/>
    <n v="4"/>
    <n v="2000"/>
    <n v="20"/>
    <x v="9"/>
    <n v="1200"/>
    <s v="Wallet"/>
  </r>
  <r>
    <s v="ORD1011"/>
    <s v="CUST111"/>
    <s v="Mobile"/>
    <s v="Electronics"/>
    <d v="2024-01-05T00:00:00"/>
    <d v="2024-01-07T00:00:00"/>
    <x v="10"/>
    <x v="0"/>
    <n v="2"/>
    <n v="15000"/>
    <n v="10"/>
    <x v="0"/>
    <n v="3500"/>
    <s v="UPI"/>
  </r>
  <r>
    <s v="ORD1012"/>
    <s v="CUST112"/>
    <s v="Laptop"/>
    <s v="Electronics"/>
    <d v="2024-02-10T00:00:00"/>
    <d v="2024-02-14T00:00:00"/>
    <x v="11"/>
    <x v="1"/>
    <n v="1"/>
    <n v="50000"/>
    <n v="5"/>
    <x v="1"/>
    <n v="6000"/>
    <s v="Credit Card"/>
  </r>
  <r>
    <s v="ORD1013"/>
    <s v="CUST113"/>
    <s v="Shoes"/>
    <s v="Fashion"/>
    <d v="2024-03-03T00:00:00"/>
    <d v="2024-03-05T00:00:00"/>
    <x v="12"/>
    <x v="2"/>
    <n v="3"/>
    <n v="2000"/>
    <n v="0"/>
    <x v="2"/>
    <n v="800"/>
    <s v="COD"/>
  </r>
  <r>
    <s v="ORD1014"/>
    <s v="CUST114"/>
    <s v="Watch"/>
    <s v="Fashion"/>
    <d v="2024-03-20T00:00:00"/>
    <d v="2024-03-22T00:00:00"/>
    <x v="13"/>
    <x v="3"/>
    <n v="1"/>
    <n v="2500"/>
    <n v="20"/>
    <x v="3"/>
    <n v="300"/>
    <s v="Wallet"/>
  </r>
  <r>
    <s v="ORD1015"/>
    <s v="CUST115"/>
    <s v="TV"/>
    <s v="Electronics"/>
    <d v="2024-04-01T00:00:00"/>
    <d v="2024-04-06T00:00:00"/>
    <x v="14"/>
    <x v="0"/>
    <n v="1"/>
    <n v="40000"/>
    <n v="15"/>
    <x v="4"/>
    <n v="4500"/>
    <s v="Debit Card"/>
  </r>
  <r>
    <s v="ORD1016"/>
    <s v="CUST116"/>
    <s v="Microwave"/>
    <s v="Home Appliance"/>
    <d v="2024-04-08T00:00:00"/>
    <d v="2024-04-12T00:00:00"/>
    <x v="13"/>
    <x v="1"/>
    <n v="2"/>
    <n v="8000"/>
    <n v="0"/>
    <x v="5"/>
    <n v="2500"/>
    <s v="UPI"/>
  </r>
  <r>
    <s v="ORD1017"/>
    <s v="CUST117"/>
    <s v="Camera"/>
    <s v="Electronics"/>
    <d v="2024-04-15T00:00:00"/>
    <d v="2024-04-18T00:00:00"/>
    <x v="15"/>
    <x v="2"/>
    <n v="1"/>
    <n v="25000"/>
    <n v="10"/>
    <x v="6"/>
    <n v="4000"/>
    <s v="Credit Card"/>
  </r>
  <r>
    <s v="ORD1018"/>
    <s v="CUST118"/>
    <s v="Refrigerator"/>
    <s v="Home Appliance"/>
    <d v="2024-05-01T00:00:00"/>
    <d v="2024-05-04T00:00:00"/>
    <x v="12"/>
    <x v="3"/>
    <n v="1"/>
    <n v="30000"/>
    <n v="5"/>
    <x v="7"/>
    <n v="3500"/>
    <s v="COD"/>
  </r>
  <r>
    <s v="ORD1019"/>
    <s v="CUST119"/>
    <s v="AC"/>
    <s v="Home Appliance"/>
    <d v="2024-05-10T00:00:00"/>
    <d v="2024-05-15T00:00:00"/>
    <x v="16"/>
    <x v="0"/>
    <n v="1"/>
    <n v="35000"/>
    <n v="0"/>
    <x v="8"/>
    <n v="5000"/>
    <s v="UPI"/>
  </r>
  <r>
    <s v="ORD1020"/>
    <s v="CUST120"/>
    <s v="Headphones"/>
    <s v="Electronics"/>
    <d v="2024-05-20T00:00:00"/>
    <d v="2024-05-23T00:00:00"/>
    <x v="17"/>
    <x v="1"/>
    <n v="4"/>
    <n v="2000"/>
    <n v="20"/>
    <x v="9"/>
    <n v="1200"/>
    <s v="Wallet"/>
  </r>
  <r>
    <s v="ORD1021"/>
    <s v="CUST121"/>
    <s v="Mobile"/>
    <s v="Electronics"/>
    <d v="2024-01-05T00:00:00"/>
    <d v="2024-01-07T00:00:00"/>
    <x v="18"/>
    <x v="0"/>
    <n v="2"/>
    <n v="15000"/>
    <n v="10"/>
    <x v="0"/>
    <n v="3500"/>
    <s v="UPI"/>
  </r>
  <r>
    <s v="ORD1022"/>
    <s v="CUST122"/>
    <s v="Laptop"/>
    <s v="Electronics"/>
    <d v="2024-02-10T00:00:00"/>
    <d v="2024-02-14T00:00:00"/>
    <x v="19"/>
    <x v="1"/>
    <n v="1"/>
    <n v="50000"/>
    <n v="5"/>
    <x v="1"/>
    <n v="6000"/>
    <s v="Credit Card"/>
  </r>
  <r>
    <s v="ORD1023"/>
    <s v="CUST123"/>
    <s v="Shoes"/>
    <s v="Fashion"/>
    <d v="2024-03-03T00:00:00"/>
    <d v="2024-03-05T00:00:00"/>
    <x v="20"/>
    <x v="2"/>
    <n v="3"/>
    <n v="2000"/>
    <n v="0"/>
    <x v="2"/>
    <n v="800"/>
    <s v="COD"/>
  </r>
  <r>
    <s v="ORD1024"/>
    <s v="CUST124"/>
    <s v="Watch"/>
    <s v="Fashion"/>
    <d v="2024-03-20T00:00:00"/>
    <d v="2024-03-22T00:00:00"/>
    <x v="19"/>
    <x v="3"/>
    <n v="1"/>
    <n v="2500"/>
    <n v="20"/>
    <x v="3"/>
    <n v="300"/>
    <s v="Wallet"/>
  </r>
  <r>
    <s v="ORD1025"/>
    <s v="CUST125"/>
    <s v="TV"/>
    <s v="Electronics"/>
    <d v="2024-04-01T00:00:00"/>
    <d v="2024-04-06T00:00:00"/>
    <x v="12"/>
    <x v="0"/>
    <n v="1"/>
    <n v="40000"/>
    <n v="15"/>
    <x v="4"/>
    <n v="4500"/>
    <s v="Debit Card"/>
  </r>
  <r>
    <s v="ORD1026"/>
    <s v="CUST126"/>
    <s v="Microwave"/>
    <s v="Home Appliance"/>
    <d v="2024-04-08T00:00:00"/>
    <d v="2024-04-12T00:00:00"/>
    <x v="21"/>
    <x v="1"/>
    <n v="2"/>
    <n v="8000"/>
    <n v="0"/>
    <x v="5"/>
    <n v="2500"/>
    <s v="UPI"/>
  </r>
  <r>
    <s v="ORD1027"/>
    <s v="CUST127"/>
    <s v="Camera"/>
    <s v="Electronics"/>
    <d v="2024-04-15T00:00:00"/>
    <d v="2024-04-18T00:00:00"/>
    <x v="22"/>
    <x v="2"/>
    <n v="1"/>
    <n v="25000"/>
    <n v="10"/>
    <x v="6"/>
    <n v="4000"/>
    <s v="Credit Card"/>
  </r>
  <r>
    <s v="ORD1028"/>
    <s v="CUST128"/>
    <s v="Refrigerator"/>
    <s v="Home Appliance"/>
    <d v="2024-05-01T00:00:00"/>
    <d v="2024-05-04T00:00:00"/>
    <x v="11"/>
    <x v="3"/>
    <n v="1"/>
    <n v="30000"/>
    <n v="5"/>
    <x v="7"/>
    <n v="3500"/>
    <s v="COD"/>
  </r>
  <r>
    <s v="ORD1029"/>
    <s v="CUST129"/>
    <s v="AC"/>
    <s v="Home Appliance"/>
    <d v="2024-05-10T00:00:00"/>
    <d v="2024-05-15T00:00:00"/>
    <x v="4"/>
    <x v="0"/>
    <n v="1"/>
    <n v="35000"/>
    <n v="0"/>
    <x v="8"/>
    <n v="5000"/>
    <s v="UPI"/>
  </r>
  <r>
    <s v="ORD1030"/>
    <s v="CUST130"/>
    <s v="Headphones"/>
    <s v="Electronics"/>
    <d v="2024-05-20T00:00:00"/>
    <d v="2024-05-23T00:00:00"/>
    <x v="10"/>
    <x v="1"/>
    <n v="4"/>
    <n v="2000"/>
    <n v="20"/>
    <x v="9"/>
    <n v="1200"/>
    <s v="Wallet"/>
  </r>
  <r>
    <s v="ORD1031"/>
    <s v="CUST131"/>
    <s v="Mobile"/>
    <s v="Electronics"/>
    <d v="2024-01-05T00:00:00"/>
    <d v="2024-01-07T00:00:00"/>
    <x v="23"/>
    <x v="0"/>
    <n v="2"/>
    <n v="15000"/>
    <n v="10"/>
    <x v="0"/>
    <n v="3500"/>
    <s v="UPI"/>
  </r>
  <r>
    <s v="ORD1032"/>
    <s v="CUST132"/>
    <s v="Laptop"/>
    <s v="Electronics"/>
    <d v="2024-02-10T00:00:00"/>
    <d v="2024-02-14T00:00:00"/>
    <x v="12"/>
    <x v="1"/>
    <n v="1"/>
    <n v="50000"/>
    <n v="5"/>
    <x v="1"/>
    <n v="6000"/>
    <s v="Credit Card"/>
  </r>
  <r>
    <s v="ORD1033"/>
    <s v="CUST133"/>
    <s v="Shoes"/>
    <s v="Fashion"/>
    <d v="2024-03-03T00:00:00"/>
    <d v="2024-03-05T00:00:00"/>
    <x v="13"/>
    <x v="2"/>
    <n v="3"/>
    <n v="2000"/>
    <n v="0"/>
    <x v="2"/>
    <n v="800"/>
    <s v="COD"/>
  </r>
  <r>
    <s v="ORD1034"/>
    <s v="CUST134"/>
    <s v="Watch"/>
    <s v="Fashion"/>
    <d v="2024-03-20T00:00:00"/>
    <d v="2024-03-22T00:00:00"/>
    <x v="14"/>
    <x v="3"/>
    <n v="1"/>
    <n v="2500"/>
    <n v="20"/>
    <x v="3"/>
    <n v="300"/>
    <s v="Wallet"/>
  </r>
  <r>
    <s v="ORD1035"/>
    <s v="CUST135"/>
    <s v="TV"/>
    <s v="Electronics"/>
    <d v="2024-04-01T00:00:00"/>
    <d v="2024-04-06T00:00:00"/>
    <x v="24"/>
    <x v="0"/>
    <n v="1"/>
    <n v="40000"/>
    <n v="15"/>
    <x v="4"/>
    <n v="4500"/>
    <s v="Debit Card"/>
  </r>
  <r>
    <s v="ORD1036"/>
    <s v="CUST136"/>
    <s v="Microwave"/>
    <s v="Home Appliance"/>
    <d v="2024-04-08T00:00:00"/>
    <d v="2024-04-12T00:00:00"/>
    <x v="15"/>
    <x v="1"/>
    <n v="2"/>
    <n v="8000"/>
    <n v="0"/>
    <x v="5"/>
    <n v="2500"/>
    <s v="UPI"/>
  </r>
  <r>
    <s v="ORD1037"/>
    <s v="CUST137"/>
    <s v="Camera"/>
    <s v="Electronics"/>
    <d v="2024-04-15T00:00:00"/>
    <d v="2024-04-18T00:00:00"/>
    <x v="12"/>
    <x v="2"/>
    <n v="1"/>
    <n v="25000"/>
    <n v="10"/>
    <x v="6"/>
    <n v="4000"/>
    <s v="Credit Card"/>
  </r>
  <r>
    <s v="ORD1038"/>
    <s v="CUST138"/>
    <s v="Refrigerator"/>
    <s v="Home Appliance"/>
    <d v="2024-05-01T00:00:00"/>
    <d v="2024-05-04T00:00:00"/>
    <x v="16"/>
    <x v="3"/>
    <n v="1"/>
    <n v="30000"/>
    <n v="5"/>
    <x v="7"/>
    <n v="3500"/>
    <s v="COD"/>
  </r>
  <r>
    <s v="ORD1039"/>
    <s v="CUST139"/>
    <s v="Microwave"/>
    <s v="Home Appliance"/>
    <d v="2024-04-08T00:00:00"/>
    <d v="2024-04-12T00:00:00"/>
    <x v="17"/>
    <x v="1"/>
    <n v="2"/>
    <n v="8000"/>
    <n v="0"/>
    <x v="5"/>
    <n v="2500"/>
    <s v="UPI"/>
  </r>
  <r>
    <s v="ORD1040"/>
    <s v="CUST140"/>
    <s v="Camera"/>
    <s v="Electronics"/>
    <d v="2024-04-15T00:00:00"/>
    <d v="2024-04-18T00:00:00"/>
    <x v="18"/>
    <x v="2"/>
    <n v="1"/>
    <n v="25000"/>
    <n v="10"/>
    <x v="6"/>
    <n v="4000"/>
    <s v="Credit Card"/>
  </r>
  <r>
    <s v="ORD1041"/>
    <s v="CUST141"/>
    <s v="Refrigerator"/>
    <s v="Home Appliance"/>
    <d v="2024-05-01T00:00:00"/>
    <d v="2024-05-04T00:00:00"/>
    <x v="0"/>
    <x v="3"/>
    <n v="1"/>
    <n v="30000"/>
    <n v="5"/>
    <x v="7"/>
    <n v="3500"/>
    <s v="COD"/>
  </r>
  <r>
    <s v="ORD1042"/>
    <s v="CUST142"/>
    <s v="AC"/>
    <s v="Home Appliance"/>
    <d v="2024-05-10T00:00:00"/>
    <d v="2024-05-15T00:00:00"/>
    <x v="1"/>
    <x v="0"/>
    <n v="1"/>
    <n v="35000"/>
    <n v="0"/>
    <x v="8"/>
    <n v="5000"/>
    <s v="UPI"/>
  </r>
  <r>
    <s v="ORD1043"/>
    <s v="CUST143"/>
    <s v="Headphones"/>
    <s v="Electronics"/>
    <d v="2024-05-20T00:00:00"/>
    <d v="2024-05-23T00:00:00"/>
    <x v="2"/>
    <x v="1"/>
    <n v="4"/>
    <n v="2000"/>
    <n v="20"/>
    <x v="9"/>
    <n v="1200"/>
    <s v="Wallet"/>
  </r>
  <r>
    <s v="ORD1044"/>
    <s v="CUST144"/>
    <s v="Mobile"/>
    <s v="Electronics"/>
    <d v="2024-01-05T00:00:00"/>
    <d v="2024-01-07T00:00:00"/>
    <x v="11"/>
    <x v="0"/>
    <n v="2"/>
    <n v="15000"/>
    <n v="10"/>
    <x v="0"/>
    <n v="3500"/>
    <s v="UPI"/>
  </r>
  <r>
    <s v="ORD1045"/>
    <s v="CUST145"/>
    <s v="Laptop"/>
    <s v="Electronics"/>
    <d v="2024-02-10T00:00:00"/>
    <d v="2024-02-14T00:00:00"/>
    <x v="7"/>
    <x v="1"/>
    <n v="1"/>
    <n v="50000"/>
    <n v="5"/>
    <x v="1"/>
    <n v="6000"/>
    <s v="Credit Card"/>
  </r>
  <r>
    <s v="ORD1046"/>
    <s v="CUST146"/>
    <s v="Shoes"/>
    <s v="Fashion"/>
    <d v="2024-03-03T00:00:00"/>
    <d v="2024-03-05T00:00:00"/>
    <x v="5"/>
    <x v="2"/>
    <n v="3"/>
    <n v="2000"/>
    <n v="0"/>
    <x v="2"/>
    <n v="800"/>
    <s v="COD"/>
  </r>
  <r>
    <s v="ORD1047"/>
    <s v="CUST147"/>
    <s v="Watch"/>
    <s v="Fashion"/>
    <d v="2024-03-20T00:00:00"/>
    <d v="2024-03-22T00:00:00"/>
    <x v="6"/>
    <x v="3"/>
    <n v="1"/>
    <n v="2500"/>
    <n v="20"/>
    <x v="3"/>
    <n v="300"/>
    <s v="Wallet"/>
  </r>
  <r>
    <s v="ORD1048"/>
    <s v="CUST148"/>
    <s v="TV"/>
    <s v="Electronics"/>
    <d v="2024-04-01T00:00:00"/>
    <d v="2024-04-06T00:00:00"/>
    <x v="7"/>
    <x v="0"/>
    <n v="1"/>
    <n v="40000"/>
    <n v="15"/>
    <x v="4"/>
    <n v="4500"/>
    <s v="Debit Card"/>
  </r>
  <r>
    <s v="ORD1049"/>
    <s v="CUST149"/>
    <s v="Microwave"/>
    <s v="Home Appliance"/>
    <d v="2024-04-08T00:00:00"/>
    <d v="2024-04-12T00:00:00"/>
    <x v="8"/>
    <x v="1"/>
    <n v="2"/>
    <n v="8000"/>
    <n v="0"/>
    <x v="5"/>
    <n v="2500"/>
    <s v="UPI"/>
  </r>
  <r>
    <s v="ORD1050"/>
    <s v="CUST150"/>
    <s v="Camera"/>
    <s v="Electronics"/>
    <d v="2024-04-15T00:00:00"/>
    <d v="2024-04-18T00:00:00"/>
    <x v="9"/>
    <x v="2"/>
    <n v="1"/>
    <n v="25000"/>
    <n v="10"/>
    <x v="6"/>
    <n v="4000"/>
    <s v="Credit Card"/>
  </r>
  <r>
    <s v="ORD1051"/>
    <s v="CUST151"/>
    <s v="Refrigerator"/>
    <s v="Home Appliance"/>
    <d v="2024-05-01T00:00:00"/>
    <d v="2024-05-04T00:00:00"/>
    <x v="10"/>
    <x v="3"/>
    <n v="1"/>
    <n v="30000"/>
    <n v="5"/>
    <x v="7"/>
    <n v="3500"/>
    <s v="COD"/>
  </r>
  <r>
    <s v="ORD1052"/>
    <s v="CUST152"/>
    <s v="AC"/>
    <s v="Home Appliance"/>
    <d v="2024-05-10T00:00:00"/>
    <d v="2024-05-15T00:00:00"/>
    <x v="23"/>
    <x v="0"/>
    <n v="1"/>
    <n v="35000"/>
    <n v="0"/>
    <x v="8"/>
    <n v="5000"/>
    <s v="UPI"/>
  </r>
  <r>
    <s v="ORD1053"/>
    <s v="CUST153"/>
    <s v="Headphones"/>
    <s v="Electronics"/>
    <d v="2024-05-20T00:00:00"/>
    <d v="2024-05-23T00:00:00"/>
    <x v="12"/>
    <x v="1"/>
    <n v="4"/>
    <n v="2000"/>
    <n v="20"/>
    <x v="9"/>
    <n v="1200"/>
    <s v="Wallet"/>
  </r>
  <r>
    <s v="ORD1054"/>
    <s v="CUST154"/>
    <s v="Mobile"/>
    <s v="Electronics"/>
    <d v="2024-01-05T00:00:00"/>
    <d v="2024-01-07T00:00:00"/>
    <x v="13"/>
    <x v="0"/>
    <n v="2"/>
    <n v="15000"/>
    <n v="10"/>
    <x v="0"/>
    <n v="3500"/>
    <s v="UPI"/>
  </r>
  <r>
    <s v="ORD1055"/>
    <s v="CUST155"/>
    <s v="Laptop"/>
    <s v="Electronics"/>
    <d v="2024-02-10T00:00:00"/>
    <d v="2024-02-14T00:00:00"/>
    <x v="14"/>
    <x v="1"/>
    <n v="1"/>
    <n v="50000"/>
    <n v="5"/>
    <x v="1"/>
    <n v="6000"/>
    <s v="Credit Card"/>
  </r>
  <r>
    <s v="ORD1056"/>
    <s v="CUST156"/>
    <s v="Shoes"/>
    <s v="Fashion"/>
    <d v="2024-03-03T00:00:00"/>
    <d v="2024-03-05T00:00:00"/>
    <x v="24"/>
    <x v="2"/>
    <n v="3"/>
    <n v="2000"/>
    <n v="0"/>
    <x v="2"/>
    <n v="800"/>
    <s v="COD"/>
  </r>
  <r>
    <s v="ORD1057"/>
    <s v="CUST157"/>
    <s v="Watch"/>
    <s v="Fashion"/>
    <d v="2024-03-20T00:00:00"/>
    <d v="2024-03-22T00:00:00"/>
    <x v="15"/>
    <x v="3"/>
    <n v="1"/>
    <n v="2500"/>
    <n v="20"/>
    <x v="3"/>
    <n v="300"/>
    <s v="Wallet"/>
  </r>
  <r>
    <s v="ORD1058"/>
    <s v="CUST158"/>
    <s v="TV"/>
    <s v="Electronics"/>
    <d v="2024-04-01T00:00:00"/>
    <d v="2024-04-06T00:00:00"/>
    <x v="25"/>
    <x v="0"/>
    <n v="1"/>
    <n v="40000"/>
    <n v="15"/>
    <x v="4"/>
    <n v="4500"/>
    <s v="Debit Card"/>
  </r>
  <r>
    <s v="ORD1059"/>
    <s v="CUST159"/>
    <s v="Mobile"/>
    <s v="Electronics"/>
    <d v="2024-01-05T00:00:00"/>
    <d v="2024-01-07T00:00:00"/>
    <x v="16"/>
    <x v="0"/>
    <n v="2"/>
    <n v="15000"/>
    <n v="10"/>
    <x v="0"/>
    <n v="3500"/>
    <s v="UPI"/>
  </r>
  <r>
    <s v="ORD1060"/>
    <s v="CUST160"/>
    <s v="Laptop"/>
    <s v="Electronics"/>
    <d v="2024-02-10T00:00:00"/>
    <d v="2024-02-14T00:00:00"/>
    <x v="17"/>
    <x v="1"/>
    <n v="1"/>
    <n v="50000"/>
    <n v="5"/>
    <x v="1"/>
    <n v="6000"/>
    <s v="Credit Card"/>
  </r>
  <r>
    <s v="ORD1061"/>
    <s v="CUST161"/>
    <s v="Shoes"/>
    <s v="Fashion"/>
    <d v="2024-03-03T00:00:00"/>
    <d v="2024-03-05T00:00:00"/>
    <x v="11"/>
    <x v="2"/>
    <n v="3"/>
    <n v="2000"/>
    <n v="0"/>
    <x v="2"/>
    <n v="800"/>
    <s v="COD"/>
  </r>
  <r>
    <s v="ORD1062"/>
    <s v="CUST162"/>
    <s v="Watch"/>
    <s v="Fashion"/>
    <d v="2024-03-20T00:00:00"/>
    <d v="2024-03-22T00:00:00"/>
    <x v="26"/>
    <x v="3"/>
    <n v="1"/>
    <n v="2500"/>
    <n v="20"/>
    <x v="3"/>
    <n v="300"/>
    <s v="Wallet"/>
  </r>
  <r>
    <s v="ORD1063"/>
    <s v="CUST163"/>
    <s v="TV"/>
    <s v="Electronics"/>
    <d v="2024-04-01T00:00:00"/>
    <d v="2024-04-06T00:00:00"/>
    <x v="0"/>
    <x v="0"/>
    <n v="1"/>
    <n v="40000"/>
    <n v="15"/>
    <x v="4"/>
    <n v="4500"/>
    <s v="Debit Card"/>
  </r>
  <r>
    <s v="ORD1064"/>
    <s v="CUST164"/>
    <s v="Microwave"/>
    <s v="Home Appliance"/>
    <d v="2024-04-08T00:00:00"/>
    <d v="2024-04-12T00:00:00"/>
    <x v="1"/>
    <x v="1"/>
    <n v="2"/>
    <n v="8000"/>
    <n v="0"/>
    <x v="5"/>
    <n v="2500"/>
    <s v="UPI"/>
  </r>
  <r>
    <s v="ORD1065"/>
    <s v="CUST165"/>
    <s v="Camera"/>
    <s v="Electronics"/>
    <d v="2024-04-15T00:00:00"/>
    <d v="2024-04-18T00:00:00"/>
    <x v="2"/>
    <x v="2"/>
    <n v="1"/>
    <n v="25000"/>
    <n v="10"/>
    <x v="6"/>
    <n v="4000"/>
    <s v="Credit Card"/>
  </r>
  <r>
    <s v="ORD1066"/>
    <s v="CUST166"/>
    <s v="Refrigerator"/>
    <s v="Home Appliance"/>
    <d v="2024-05-01T00:00:00"/>
    <d v="2024-05-04T00:00:00"/>
    <x v="3"/>
    <x v="3"/>
    <n v="1"/>
    <n v="30000"/>
    <n v="5"/>
    <x v="7"/>
    <n v="3500"/>
    <s v="COD"/>
  </r>
  <r>
    <s v="ORD1067"/>
    <s v="CUST167"/>
    <s v="AC"/>
    <s v="Home Appliance"/>
    <d v="2024-05-10T00:00:00"/>
    <d v="2024-05-15T00:00:00"/>
    <x v="27"/>
    <x v="0"/>
    <n v="1"/>
    <n v="35000"/>
    <n v="0"/>
    <x v="8"/>
    <n v="5000"/>
    <s v="UPI"/>
  </r>
  <r>
    <s v="ORD1068"/>
    <s v="CUST168"/>
    <s v="Mobile"/>
    <s v="Electronics"/>
    <d v="2024-01-05T00:00:00"/>
    <d v="2024-01-07T00:00:00"/>
    <x v="5"/>
    <x v="0"/>
    <n v="2"/>
    <n v="15000"/>
    <n v="10"/>
    <x v="0"/>
    <n v="3500"/>
    <s v="UPI"/>
  </r>
  <r>
    <s v="ORD1069"/>
    <s v="CUST169"/>
    <s v="Laptop"/>
    <s v="Electronics"/>
    <d v="2024-02-10T00:00:00"/>
    <d v="2024-02-14T00:00:00"/>
    <x v="27"/>
    <x v="1"/>
    <n v="1"/>
    <n v="50000"/>
    <n v="5"/>
    <x v="1"/>
    <n v="6000"/>
    <s v="Credit Card"/>
  </r>
  <r>
    <s v="ORD1070"/>
    <s v="CUST170"/>
    <s v="Shoes"/>
    <s v="Fashion"/>
    <d v="2024-03-03T00:00:00"/>
    <d v="2024-03-05T00:00:00"/>
    <x v="7"/>
    <x v="2"/>
    <n v="3"/>
    <n v="2000"/>
    <n v="0"/>
    <x v="2"/>
    <n v="800"/>
    <s v="COD"/>
  </r>
  <r>
    <s v="ORD1071"/>
    <s v="CUST171"/>
    <s v="Watch"/>
    <s v="Fashion"/>
    <d v="2024-03-20T00:00:00"/>
    <d v="2024-03-22T00:00:00"/>
    <x v="8"/>
    <x v="3"/>
    <n v="1"/>
    <n v="2500"/>
    <n v="20"/>
    <x v="3"/>
    <n v="300"/>
    <s v="Wallet"/>
  </r>
  <r>
    <s v="ORD1072"/>
    <s v="CUST172"/>
    <s v="TV"/>
    <s v="Electronics"/>
    <d v="2024-04-01T00:00:00"/>
    <d v="2024-04-06T00:00:00"/>
    <x v="9"/>
    <x v="0"/>
    <n v="1"/>
    <n v="40000"/>
    <n v="15"/>
    <x v="4"/>
    <n v="4500"/>
    <s v="Debit Card"/>
  </r>
  <r>
    <s v="ORD1073"/>
    <s v="CUST173"/>
    <s v="Mobile"/>
    <s v="Electronics"/>
    <d v="2024-01-05T00:00:00"/>
    <d v="2024-01-07T00:00:00"/>
    <x v="10"/>
    <x v="0"/>
    <n v="2"/>
    <n v="15000"/>
    <n v="10"/>
    <x v="0"/>
    <n v="3500"/>
    <s v="UPI"/>
  </r>
  <r>
    <s v="ORD1074"/>
    <s v="CUST174"/>
    <s v="Laptop"/>
    <s v="Electronics"/>
    <d v="2024-02-10T00:00:00"/>
    <d v="2024-02-14T00:00:00"/>
    <x v="9"/>
    <x v="1"/>
    <n v="1"/>
    <n v="50000"/>
    <n v="5"/>
    <x v="1"/>
    <n v="6000"/>
    <s v="Credit Card"/>
  </r>
  <r>
    <s v="ORD1075"/>
    <s v="CUST175"/>
    <s v="Shoes"/>
    <s v="Fashion"/>
    <d v="2024-03-03T00:00:00"/>
    <d v="2024-03-05T00:00:00"/>
    <x v="12"/>
    <x v="2"/>
    <n v="3"/>
    <n v="2000"/>
    <n v="0"/>
    <x v="2"/>
    <n v="800"/>
    <s v="COD"/>
  </r>
  <r>
    <s v="ORD1076"/>
    <s v="CUST176"/>
    <s v="Watch"/>
    <s v="Fashion"/>
    <d v="2024-03-20T00:00:00"/>
    <d v="2024-03-22T00:00:00"/>
    <x v="25"/>
    <x v="3"/>
    <n v="1"/>
    <n v="2500"/>
    <n v="20"/>
    <x v="3"/>
    <n v="300"/>
    <s v="Wallet"/>
  </r>
  <r>
    <s v="ORD1077"/>
    <s v="CUST177"/>
    <s v="TV"/>
    <s v="Electronics"/>
    <d v="2024-04-01T00:00:00"/>
    <d v="2024-04-06T00:00:00"/>
    <x v="14"/>
    <x v="0"/>
    <n v="1"/>
    <n v="40000"/>
    <n v="15"/>
    <x v="4"/>
    <n v="4500"/>
    <s v="Debit Card"/>
  </r>
  <r>
    <s v="ORD1078"/>
    <s v="CUST178"/>
    <s v="Microwave"/>
    <s v="Home Appliance"/>
    <d v="2024-04-08T00:00:00"/>
    <d v="2024-04-12T00:00:00"/>
    <x v="24"/>
    <x v="1"/>
    <n v="2"/>
    <n v="8000"/>
    <n v="0"/>
    <x v="5"/>
    <n v="2500"/>
    <s v="UPI"/>
  </r>
  <r>
    <s v="ORD1079"/>
    <s v="CUST179"/>
    <s v="Camera"/>
    <s v="Electronics"/>
    <d v="2024-04-15T00:00:00"/>
    <d v="2024-04-18T00:00:00"/>
    <x v="15"/>
    <x v="2"/>
    <n v="1"/>
    <n v="25000"/>
    <n v="10"/>
    <x v="6"/>
    <n v="4000"/>
    <s v="Credit Card"/>
  </r>
  <r>
    <s v="ORD1080"/>
    <s v="CUST180"/>
    <s v="Refrigerator"/>
    <s v="Home Appliance"/>
    <d v="2024-05-01T00:00:00"/>
    <d v="2024-05-04T00:00:00"/>
    <x v="25"/>
    <x v="3"/>
    <n v="1"/>
    <n v="30000"/>
    <n v="5"/>
    <x v="7"/>
    <n v="3500"/>
    <s v="COD"/>
  </r>
  <r>
    <s v="ORD1081"/>
    <s v="CUST181"/>
    <s v="AC"/>
    <s v="Home Appliance"/>
    <d v="2024-05-10T00:00:00"/>
    <d v="2024-05-15T00:00:00"/>
    <x v="16"/>
    <x v="0"/>
    <n v="1"/>
    <n v="35000"/>
    <n v="0"/>
    <x v="8"/>
    <n v="5000"/>
    <s v="UPI"/>
  </r>
  <r>
    <s v="ORD1082"/>
    <s v="CUST182"/>
    <s v="Mobile"/>
    <s v="Electronics"/>
    <d v="2024-01-05T00:00:00"/>
    <d v="2024-01-07T00:00:00"/>
    <x v="17"/>
    <x v="0"/>
    <n v="2"/>
    <n v="15000"/>
    <n v="10"/>
    <x v="0"/>
    <n v="3500"/>
    <s v="UPI"/>
  </r>
  <r>
    <s v="ORD1083"/>
    <s v="CUST183"/>
    <s v="Laptop"/>
    <s v="Electronics"/>
    <d v="2024-02-10T00:00:00"/>
    <d v="2024-02-14T00:00:00"/>
    <x v="18"/>
    <x v="1"/>
    <n v="1"/>
    <n v="50000"/>
    <n v="5"/>
    <x v="1"/>
    <n v="6000"/>
    <s v="Credit Card"/>
  </r>
  <r>
    <s v="ORD1084"/>
    <s v="CUST184"/>
    <s v="Shoes"/>
    <s v="Fashion"/>
    <d v="2024-03-03T00:00:00"/>
    <d v="2024-03-05T00:00:00"/>
    <x v="26"/>
    <x v="2"/>
    <n v="3"/>
    <n v="2000"/>
    <n v="0"/>
    <x v="2"/>
    <n v="800"/>
    <s v="COD"/>
  </r>
  <r>
    <s v="ORD1085"/>
    <s v="CUST185"/>
    <s v="Watch"/>
    <s v="Fashion"/>
    <d v="2024-03-20T00:00:00"/>
    <d v="2024-03-22T00:00:00"/>
    <x v="20"/>
    <x v="3"/>
    <n v="1"/>
    <n v="2500"/>
    <n v="20"/>
    <x v="3"/>
    <n v="300"/>
    <s v="Wallet"/>
  </r>
  <r>
    <s v="ORD1086"/>
    <s v="CUST186"/>
    <s v="TV"/>
    <s v="Electronics"/>
    <d v="2024-04-01T00:00:00"/>
    <d v="2024-04-06T00:00:00"/>
    <x v="18"/>
    <x v="0"/>
    <n v="1"/>
    <n v="40000"/>
    <n v="15"/>
    <x v="4"/>
    <n v="4500"/>
    <s v="Debit Card"/>
  </r>
  <r>
    <s v="ORD1087"/>
    <s v="CUST187"/>
    <s v="Microwave"/>
    <s v="Home Appliance"/>
    <d v="2024-04-08T00:00:00"/>
    <d v="2024-04-12T00:00:00"/>
    <x v="28"/>
    <x v="1"/>
    <n v="2"/>
    <n v="8000"/>
    <n v="0"/>
    <x v="5"/>
    <n v="2500"/>
    <s v="UPI"/>
  </r>
  <r>
    <s v="ORD1088"/>
    <s v="CUST188"/>
    <s v="Camera"/>
    <s v="Electronics"/>
    <d v="2024-04-15T00:00:00"/>
    <d v="2024-04-18T00:00:00"/>
    <x v="4"/>
    <x v="2"/>
    <n v="1"/>
    <n v="25000"/>
    <n v="10"/>
    <x v="6"/>
    <n v="4000"/>
    <s v="Credit Card"/>
  </r>
  <r>
    <s v="ORD1089"/>
    <s v="CUST189"/>
    <s v="Refrigerator"/>
    <s v="Home Appliance"/>
    <d v="2024-05-01T00:00:00"/>
    <d v="2024-05-04T00:00:00"/>
    <x v="22"/>
    <x v="3"/>
    <n v="1"/>
    <n v="30000"/>
    <n v="5"/>
    <x v="7"/>
    <n v="3500"/>
    <s v="COD"/>
  </r>
  <r>
    <s v="ORD1090"/>
    <s v="CUST190"/>
    <s v="AC"/>
    <s v="Home Appliance"/>
    <d v="2024-05-10T00:00:00"/>
    <d v="2024-05-15T00:00:00"/>
    <x v="15"/>
    <x v="0"/>
    <n v="1"/>
    <n v="35000"/>
    <n v="0"/>
    <x v="8"/>
    <n v="5000"/>
    <s v="UPI"/>
  </r>
  <r>
    <s v="ORD1091"/>
    <s v="CUST191"/>
    <s v="Mobile"/>
    <s v="Electronics"/>
    <d v="2024-01-05T00:00:00"/>
    <d v="2024-01-07T00:00:00"/>
    <x v="25"/>
    <x v="0"/>
    <n v="2"/>
    <n v="15000"/>
    <n v="10"/>
    <x v="0"/>
    <n v="3500"/>
    <s v="UPI"/>
  </r>
  <r>
    <s v="ORD1092"/>
    <s v="CUST192"/>
    <s v="Laptop"/>
    <s v="Electronics"/>
    <d v="2024-02-10T00:00:00"/>
    <d v="2024-02-14T00:00:00"/>
    <x v="16"/>
    <x v="1"/>
    <n v="1"/>
    <n v="50000"/>
    <n v="5"/>
    <x v="1"/>
    <n v="6000"/>
    <s v="Credit Card"/>
  </r>
  <r>
    <s v="ORD1093"/>
    <s v="CUST193"/>
    <s v="Shoes"/>
    <s v="Fashion"/>
    <d v="2024-03-03T00:00:00"/>
    <d v="2024-03-05T00:00:00"/>
    <x v="17"/>
    <x v="2"/>
    <n v="3"/>
    <n v="2000"/>
    <n v="0"/>
    <x v="2"/>
    <n v="800"/>
    <s v="COD"/>
  </r>
  <r>
    <s v="ORD1094"/>
    <s v="CUST194"/>
    <s v="Watch"/>
    <s v="Fashion"/>
    <d v="2024-03-20T00:00:00"/>
    <d v="2024-03-22T00:00:00"/>
    <x v="18"/>
    <x v="3"/>
    <n v="1"/>
    <n v="2500"/>
    <n v="20"/>
    <x v="3"/>
    <n v="300"/>
    <s v="Wallet"/>
  </r>
  <r>
    <s v="ORD1095"/>
    <s v="CUST195"/>
    <s v="TV"/>
    <s v="Electronics"/>
    <d v="2024-04-01T00:00:00"/>
    <d v="2024-04-06T00:00:00"/>
    <x v="26"/>
    <x v="0"/>
    <n v="1"/>
    <n v="40000"/>
    <n v="15"/>
    <x v="4"/>
    <n v="4500"/>
    <s v="Debit Card"/>
  </r>
  <r>
    <s v="ORD1096"/>
    <s v="CUST196"/>
    <s v="Mobile"/>
    <s v="Electronics"/>
    <d v="2024-01-05T00:00:00"/>
    <d v="2024-01-07T00:00:00"/>
    <x v="20"/>
    <x v="0"/>
    <n v="2"/>
    <n v="15000"/>
    <n v="10"/>
    <x v="0"/>
    <n v="3500"/>
    <s v="UPI"/>
  </r>
  <r>
    <s v="ORD1097"/>
    <s v="CUST197"/>
    <s v="Laptop"/>
    <s v="Electronics"/>
    <d v="2024-02-10T00:00:00"/>
    <d v="2024-02-14T00:00:00"/>
    <x v="26"/>
    <x v="1"/>
    <n v="1"/>
    <n v="50000"/>
    <n v="5"/>
    <x v="1"/>
    <n v="6000"/>
    <s v="Credit Card"/>
  </r>
  <r>
    <s v="ORD1098"/>
    <s v="CUST198"/>
    <s v="Shoes"/>
    <s v="Fashion"/>
    <d v="2024-03-03T00:00:00"/>
    <d v="2024-03-05T00:00:00"/>
    <x v="28"/>
    <x v="2"/>
    <n v="3"/>
    <n v="2000"/>
    <n v="0"/>
    <x v="2"/>
    <n v="800"/>
    <s v="COD"/>
  </r>
  <r>
    <s v="ORD1099"/>
    <s v="CUST199"/>
    <s v="Watch"/>
    <s v="Fashion"/>
    <d v="2024-03-20T00:00:00"/>
    <d v="2024-03-22T00:00:00"/>
    <x v="21"/>
    <x v="3"/>
    <n v="1"/>
    <n v="2500"/>
    <n v="20"/>
    <x v="3"/>
    <n v="300"/>
    <s v="Wallet"/>
  </r>
  <r>
    <s v="ORD1100"/>
    <s v="CUST200"/>
    <s v="Refrigerator"/>
    <s v="Home Appliance"/>
    <d v="2024-05-01T00:00:00"/>
    <d v="2024-05-04T00:00:00"/>
    <x v="11"/>
    <x v="3"/>
    <n v="1"/>
    <n v="30000"/>
    <n v="5"/>
    <x v="7"/>
    <n v="3500"/>
    <s v="CO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997122-128B-4182-BF18-315E4A0306A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3:L7" firstHeaderRow="0" firstDataRow="1" firstDataCol="1"/>
  <pivotFields count="16">
    <pivotField showAll="0"/>
    <pivotField showAll="0"/>
    <pivotField showAll="0"/>
    <pivotField showAll="0">
      <items count="4">
        <item x="0"/>
        <item x="1"/>
        <item x="2"/>
        <item t="default"/>
      </items>
    </pivotField>
    <pivotField numFmtId="14" showAll="0">
      <items count="11">
        <item x="0"/>
        <item x="1"/>
        <item x="2"/>
        <item x="3"/>
        <item x="4"/>
        <item x="5"/>
        <item x="6"/>
        <item x="7"/>
        <item x="8"/>
        <item x="9"/>
        <item t="default"/>
      </items>
    </pivotField>
    <pivotField numFmtId="14" showAll="0"/>
    <pivotField showAll="0">
      <items count="5">
        <item h="1" x="3"/>
        <item x="0"/>
        <item h="1" x="1"/>
        <item h="1" x="2"/>
        <item t="default"/>
      </items>
    </pivotField>
    <pivotField showAll="0"/>
    <pivotField numFmtId="164" showAll="0"/>
    <pivotField showAll="0"/>
    <pivotField dataField="1" numFmtId="164" showAll="0"/>
    <pivotField dataField="1" numFmtId="164" showAll="0"/>
    <pivotField showAll="0">
      <items count="6">
        <item x="2"/>
        <item x="1"/>
        <item x="4"/>
        <item x="0"/>
        <item x="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1">
    <field x="14"/>
  </rowFields>
  <rowItems count="4">
    <i>
      <x v="1"/>
    </i>
    <i>
      <x v="4"/>
    </i>
    <i>
      <x v="5"/>
    </i>
    <i t="grand">
      <x/>
    </i>
  </rowItems>
  <colFields count="1">
    <field x="-2"/>
  </colFields>
  <colItems count="2">
    <i>
      <x/>
    </i>
    <i i="1">
      <x v="1"/>
    </i>
  </colItems>
  <dataFields count="2">
    <dataField name="Sum of Order_Value" fld="10" baseField="0" baseItem="0" numFmtId="164"/>
    <dataField name="Sum of Profit" fld="11" baseField="0" baseItem="0" numFmtId="164"/>
  </dataFields>
  <formats count="19">
    <format dxfId="215">
      <pivotArea type="all" dataOnly="0" outline="0" fieldPosition="0"/>
    </format>
    <format dxfId="214">
      <pivotArea outline="0" collapsedLevelsAreSubtotals="1" fieldPosition="0"/>
    </format>
    <format dxfId="213">
      <pivotArea field="14" type="button" dataOnly="0" labelOnly="1" outline="0" axis="axisRow" fieldPosition="0"/>
    </format>
    <format dxfId="212">
      <pivotArea dataOnly="0" labelOnly="1" fieldPosition="0">
        <references count="1">
          <reference field="14" count="5">
            <x v="1"/>
            <x v="2"/>
            <x v="3"/>
            <x v="4"/>
            <x v="5"/>
          </reference>
        </references>
      </pivotArea>
    </format>
    <format dxfId="211">
      <pivotArea dataOnly="0" labelOnly="1" grandRow="1" outline="0" fieldPosition="0"/>
    </format>
    <format dxfId="210">
      <pivotArea dataOnly="0" labelOnly="1" outline="0" fieldPosition="0">
        <references count="1">
          <reference field="4294967294" count="2">
            <x v="0"/>
            <x v="1"/>
          </reference>
        </references>
      </pivotArea>
    </format>
    <format dxfId="209">
      <pivotArea type="all" dataOnly="0" outline="0" fieldPosition="0"/>
    </format>
    <format dxfId="208">
      <pivotArea outline="0" collapsedLevelsAreSubtotals="1" fieldPosition="0"/>
    </format>
    <format dxfId="207">
      <pivotArea field="14" type="button" dataOnly="0" labelOnly="1" outline="0" axis="axisRow" fieldPosition="0"/>
    </format>
    <format dxfId="206">
      <pivotArea dataOnly="0" labelOnly="1" fieldPosition="0">
        <references count="1">
          <reference field="14" count="5">
            <x v="1"/>
            <x v="2"/>
            <x v="3"/>
            <x v="4"/>
            <x v="5"/>
          </reference>
        </references>
      </pivotArea>
    </format>
    <format dxfId="205">
      <pivotArea dataOnly="0" labelOnly="1" grandRow="1" outline="0" fieldPosition="0"/>
    </format>
    <format dxfId="204">
      <pivotArea dataOnly="0" labelOnly="1" outline="0" fieldPosition="0">
        <references count="1">
          <reference field="4294967294" count="2">
            <x v="0"/>
            <x v="1"/>
          </reference>
        </references>
      </pivotArea>
    </format>
    <format dxfId="203">
      <pivotArea collapsedLevelsAreSubtotals="1" fieldPosition="0">
        <references count="2">
          <reference field="4294967294" count="1" selected="0">
            <x v="0"/>
          </reference>
          <reference field="14" count="1">
            <x v="1"/>
          </reference>
        </references>
      </pivotArea>
    </format>
    <format dxfId="202">
      <pivotArea collapsedLevelsAreSubtotals="1" fieldPosition="0">
        <references count="2">
          <reference field="4294967294" count="1" selected="0">
            <x v="0"/>
          </reference>
          <reference field="14" count="1">
            <x v="2"/>
          </reference>
        </references>
      </pivotArea>
    </format>
    <format dxfId="201">
      <pivotArea collapsedLevelsAreSubtotals="1" fieldPosition="0">
        <references count="2">
          <reference field="4294967294" count="1" selected="0">
            <x v="0"/>
          </reference>
          <reference field="14" count="1">
            <x v="4"/>
          </reference>
        </references>
      </pivotArea>
    </format>
    <format dxfId="200">
      <pivotArea collapsedLevelsAreSubtotals="1" fieldPosition="0">
        <references count="2">
          <reference field="4294967294" count="1" selected="0">
            <x v="0"/>
          </reference>
          <reference field="14" count="1">
            <x v="5"/>
          </reference>
        </references>
      </pivotArea>
    </format>
    <format dxfId="199">
      <pivotArea field="14" grandRow="1" outline="0" collapsedLevelsAreSubtotals="1" axis="axisRow" fieldPosition="0">
        <references count="1">
          <reference field="4294967294" count="1" selected="0">
            <x v="0"/>
          </reference>
        </references>
      </pivotArea>
    </format>
    <format dxfId="198">
      <pivotArea collapsedLevelsAreSubtotals="1" fieldPosition="0">
        <references count="2">
          <reference field="4294967294" count="1" selected="0">
            <x v="1"/>
          </reference>
          <reference field="14" count="1">
            <x v="4"/>
          </reference>
        </references>
      </pivotArea>
    </format>
    <format dxfId="197">
      <pivotArea field="14" grandRow="1" outline="0" collapsedLevelsAreSubtotals="1" axis="axisRow" fieldPosition="0">
        <references count="1">
          <reference field="4294967294" count="1" selected="0">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E19F91-E8B9-4109-B1F0-189880441AA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5:I8" firstHeaderRow="1" firstDataRow="1" firstDataCol="1"/>
  <pivotFields count="16">
    <pivotField showAll="0"/>
    <pivotField showAll="0"/>
    <pivotField showAll="0"/>
    <pivotField axis="axisRow" showAll="0">
      <items count="4">
        <item x="0"/>
        <item x="1"/>
        <item x="2"/>
        <item t="default"/>
      </items>
    </pivotField>
    <pivotField numFmtId="14" showAll="0">
      <items count="11">
        <item x="0"/>
        <item x="1"/>
        <item x="2"/>
        <item x="3"/>
        <item x="4"/>
        <item x="5"/>
        <item x="6"/>
        <item x="7"/>
        <item x="8"/>
        <item x="9"/>
        <item t="default"/>
      </items>
    </pivotField>
    <pivotField numFmtId="14" showAll="0"/>
    <pivotField showAll="0">
      <items count="5">
        <item h="1" x="3"/>
        <item x="0"/>
        <item h="1" x="1"/>
        <item h="1" x="2"/>
        <item t="default"/>
      </items>
    </pivotField>
    <pivotField showAll="0"/>
    <pivotField numFmtId="164" showAll="0"/>
    <pivotField showAll="0"/>
    <pivotField numFmtId="164" showAll="0"/>
    <pivotField dataField="1" numFmtId="164" showAll="0"/>
    <pivotField showAll="0">
      <items count="6">
        <item x="2"/>
        <item x="1"/>
        <item x="4"/>
        <item x="0"/>
        <item x="3"/>
        <item t="default"/>
      </items>
    </pivotField>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3"/>
  </rowFields>
  <rowItems count="3">
    <i>
      <x/>
    </i>
    <i>
      <x v="2"/>
    </i>
    <i t="grand">
      <x/>
    </i>
  </rowItems>
  <colItems count="1">
    <i/>
  </colItems>
  <dataFields count="1">
    <dataField name="Sum of Profit" fld="11" baseField="0" baseItem="0" numFmtId="164"/>
  </dataFields>
  <formats count="14">
    <format dxfId="196">
      <pivotArea collapsedLevelsAreSubtotals="1" fieldPosition="0">
        <references count="1">
          <reference field="3" count="1">
            <x v="0"/>
          </reference>
        </references>
      </pivotArea>
    </format>
    <format dxfId="195">
      <pivotArea grandRow="1" outline="0" collapsedLevelsAreSubtotals="1" fieldPosition="0"/>
    </format>
    <format dxfId="194">
      <pivotArea type="all" dataOnly="0" outline="0" fieldPosition="0"/>
    </format>
    <format dxfId="193">
      <pivotArea outline="0" collapsedLevelsAreSubtotals="1" fieldPosition="0"/>
    </format>
    <format dxfId="192">
      <pivotArea field="3" type="button" dataOnly="0" labelOnly="1" outline="0" axis="axisRow" fieldPosition="0"/>
    </format>
    <format dxfId="191">
      <pivotArea dataOnly="0" labelOnly="1" fieldPosition="0">
        <references count="1">
          <reference field="3" count="0"/>
        </references>
      </pivotArea>
    </format>
    <format dxfId="190">
      <pivotArea dataOnly="0" labelOnly="1" grandRow="1" outline="0" fieldPosition="0"/>
    </format>
    <format dxfId="189">
      <pivotArea dataOnly="0" labelOnly="1" outline="0" axis="axisValues" fieldPosition="0"/>
    </format>
    <format dxfId="188">
      <pivotArea type="all" dataOnly="0" outline="0" fieldPosition="0"/>
    </format>
    <format dxfId="187">
      <pivotArea outline="0" collapsedLevelsAreSubtotals="1" fieldPosition="0"/>
    </format>
    <format dxfId="186">
      <pivotArea field="3" type="button" dataOnly="0" labelOnly="1" outline="0" axis="axisRow" fieldPosition="0"/>
    </format>
    <format dxfId="185">
      <pivotArea dataOnly="0" labelOnly="1" fieldPosition="0">
        <references count="1">
          <reference field="3" count="0"/>
        </references>
      </pivotArea>
    </format>
    <format dxfId="184">
      <pivotArea dataOnly="0" labelOnly="1" grandRow="1" outline="0" fieldPosition="0"/>
    </format>
    <format dxfId="18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30F3DD-958F-430F-AA46-2553103B15A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6:J9" firstHeaderRow="1" firstDataRow="1" firstDataCol="1"/>
  <pivotFields count="16">
    <pivotField showAll="0"/>
    <pivotField showAll="0"/>
    <pivotField showAll="0"/>
    <pivotField axis="axisRow" showAll="0">
      <items count="4">
        <item x="0"/>
        <item x="1"/>
        <item x="2"/>
        <item t="default"/>
      </items>
    </pivotField>
    <pivotField numFmtId="14" showAll="0">
      <items count="11">
        <item x="0"/>
        <item x="1"/>
        <item x="2"/>
        <item x="3"/>
        <item x="4"/>
        <item x="5"/>
        <item x="6"/>
        <item x="7"/>
        <item x="8"/>
        <item x="9"/>
        <item t="default"/>
      </items>
    </pivotField>
    <pivotField numFmtId="14" showAll="0"/>
    <pivotField showAll="0">
      <items count="5">
        <item h="1" x="3"/>
        <item x="0"/>
        <item h="1" x="1"/>
        <item h="1" x="2"/>
        <item t="default"/>
      </items>
    </pivotField>
    <pivotField showAll="0"/>
    <pivotField numFmtId="164" showAll="0"/>
    <pivotField showAll="0"/>
    <pivotField dataField="1" numFmtId="164" showAll="0"/>
    <pivotField numFmtId="164" showAll="0"/>
    <pivotField showAll="0">
      <items count="6">
        <item x="2"/>
        <item x="1"/>
        <item x="4"/>
        <item x="0"/>
        <item x="3"/>
        <item t="default"/>
      </items>
    </pivotField>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3"/>
  </rowFields>
  <rowItems count="3">
    <i>
      <x/>
    </i>
    <i>
      <x v="2"/>
    </i>
    <i t="grand">
      <x/>
    </i>
  </rowItems>
  <colItems count="1">
    <i/>
  </colItems>
  <dataFields count="1">
    <dataField name="Sum of Order_Value" fld="10" showDataAs="percentOfTotal" baseField="0" baseItem="0" numFmtId="10"/>
  </dataFields>
  <formats count="12">
    <format dxfId="182">
      <pivotArea type="all" dataOnly="0" outline="0" fieldPosition="0"/>
    </format>
    <format dxfId="181">
      <pivotArea outline="0" collapsedLevelsAreSubtotals="1" fieldPosition="0"/>
    </format>
    <format dxfId="180">
      <pivotArea field="3" type="button" dataOnly="0" labelOnly="1" outline="0" axis="axisRow" fieldPosition="0"/>
    </format>
    <format dxfId="179">
      <pivotArea dataOnly="0" labelOnly="1" fieldPosition="0">
        <references count="1">
          <reference field="3" count="0"/>
        </references>
      </pivotArea>
    </format>
    <format dxfId="178">
      <pivotArea dataOnly="0" labelOnly="1" grandRow="1" outline="0" fieldPosition="0"/>
    </format>
    <format dxfId="177">
      <pivotArea dataOnly="0" labelOnly="1" outline="0" axis="axisValues" fieldPosition="0"/>
    </format>
    <format dxfId="176">
      <pivotArea type="all" dataOnly="0" outline="0" fieldPosition="0"/>
    </format>
    <format dxfId="175">
      <pivotArea outline="0" collapsedLevelsAreSubtotals="1" fieldPosition="0"/>
    </format>
    <format dxfId="174">
      <pivotArea field="3" type="button" dataOnly="0" labelOnly="1" outline="0" axis="axisRow" fieldPosition="0"/>
    </format>
    <format dxfId="173">
      <pivotArea dataOnly="0" labelOnly="1" fieldPosition="0">
        <references count="1">
          <reference field="3" count="0"/>
        </references>
      </pivotArea>
    </format>
    <format dxfId="172">
      <pivotArea dataOnly="0" labelOnly="1" grandRow="1" outline="0" fieldPosition="0"/>
    </format>
    <format dxfId="171">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2"/>
          </reference>
        </references>
      </pivotArea>
    </chartFormat>
    <chartFormat chart="0" format="3">
      <pivotArea type="data" outline="0" fieldPosition="0">
        <references count="2">
          <reference field="4294967294" count="1" selected="0">
            <x v="0"/>
          </reference>
          <reference field="3"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3" count="1" selected="0">
            <x v="0"/>
          </reference>
        </references>
      </pivotArea>
    </chartFormat>
    <chartFormat chart="4" format="10">
      <pivotArea type="data" outline="0" fieldPosition="0">
        <references count="2">
          <reference field="4294967294" count="1" selected="0">
            <x v="0"/>
          </reference>
          <reference field="3" count="1" selected="0">
            <x v="1"/>
          </reference>
        </references>
      </pivotArea>
    </chartFormat>
    <chartFormat chart="4" format="1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9B48E5-96F0-49B0-B234-2128114C4D0D}"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5:J9" firstHeaderRow="1" firstDataRow="1" firstDataCol="1"/>
  <pivotFields count="16">
    <pivotField showAll="0"/>
    <pivotField showAll="0"/>
    <pivotField axis="axisRow" showAll="0" measureFilter="1" sortType="ascending">
      <items count="11">
        <item x="8"/>
        <item x="6"/>
        <item x="9"/>
        <item x="1"/>
        <item x="5"/>
        <item x="0"/>
        <item x="7"/>
        <item x="2"/>
        <item x="4"/>
        <item x="3"/>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numFmtId="14" showAll="0">
      <items count="11">
        <item x="0"/>
        <item x="1"/>
        <item x="2"/>
        <item x="3"/>
        <item x="4"/>
        <item x="5"/>
        <item x="6"/>
        <item x="7"/>
        <item x="8"/>
        <item x="9"/>
        <item t="default"/>
      </items>
    </pivotField>
    <pivotField numFmtId="14" showAll="0"/>
    <pivotField showAll="0">
      <items count="5">
        <item h="1" x="3"/>
        <item x="0"/>
        <item h="1" x="1"/>
        <item h="1" x="2"/>
        <item t="default"/>
      </items>
    </pivotField>
    <pivotField showAll="0"/>
    <pivotField numFmtId="164" showAll="0"/>
    <pivotField showAll="0"/>
    <pivotField dataField="1" numFmtId="164" showAll="0"/>
    <pivotField numFmtId="164" showAll="0"/>
    <pivotField showAll="0">
      <items count="6">
        <item x="2"/>
        <item x="1"/>
        <item x="4"/>
        <item x="0"/>
        <item x="3"/>
        <item t="default"/>
      </items>
    </pivotField>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2"/>
  </rowFields>
  <rowItems count="4">
    <i>
      <x/>
    </i>
    <i>
      <x v="5"/>
    </i>
    <i>
      <x v="8"/>
    </i>
    <i t="grand">
      <x/>
    </i>
  </rowItems>
  <colItems count="1">
    <i/>
  </colItems>
  <dataFields count="1">
    <dataField name="Sum of Order_Value" fld="10" baseField="0" baseItem="0" numFmtId="164"/>
  </dataFields>
  <formats count="20">
    <format dxfId="170">
      <pivotArea collapsedLevelsAreSubtotals="1" fieldPosition="0">
        <references count="1">
          <reference field="2" count="1">
            <x v="0"/>
          </reference>
        </references>
      </pivotArea>
    </format>
    <format dxfId="169">
      <pivotArea collapsedLevelsAreSubtotals="1" fieldPosition="0">
        <references count="1">
          <reference field="2" count="1">
            <x v="1"/>
          </reference>
        </references>
      </pivotArea>
    </format>
    <format dxfId="168">
      <pivotArea collapsedLevelsAreSubtotals="1" fieldPosition="0">
        <references count="1">
          <reference field="2" count="1">
            <x v="3"/>
          </reference>
        </references>
      </pivotArea>
    </format>
    <format dxfId="167">
      <pivotArea collapsedLevelsAreSubtotals="1" fieldPosition="0">
        <references count="1">
          <reference field="2" count="1">
            <x v="4"/>
          </reference>
        </references>
      </pivotArea>
    </format>
    <format dxfId="166">
      <pivotArea collapsedLevelsAreSubtotals="1" fieldPosition="0">
        <references count="1">
          <reference field="2" count="1">
            <x v="5"/>
          </reference>
        </references>
      </pivotArea>
    </format>
    <format dxfId="165">
      <pivotArea collapsedLevelsAreSubtotals="1" fieldPosition="0">
        <references count="1">
          <reference field="2" count="1">
            <x v="6"/>
          </reference>
        </references>
      </pivotArea>
    </format>
    <format dxfId="164">
      <pivotArea collapsedLevelsAreSubtotals="1" fieldPosition="0">
        <references count="1">
          <reference field="2" count="1">
            <x v="8"/>
          </reference>
        </references>
      </pivotArea>
    </format>
    <format dxfId="163">
      <pivotArea grandRow="1" outline="0" collapsedLevelsAreSubtotals="1" fieldPosition="0"/>
    </format>
    <format dxfId="162">
      <pivotArea type="all" dataOnly="0" outline="0" fieldPosition="0"/>
    </format>
    <format dxfId="161">
      <pivotArea outline="0" collapsedLevelsAreSubtotals="1" fieldPosition="0"/>
    </format>
    <format dxfId="160">
      <pivotArea field="2" type="button" dataOnly="0" labelOnly="1" outline="0" axis="axisRow" fieldPosition="0"/>
    </format>
    <format dxfId="159">
      <pivotArea dataOnly="0" labelOnly="1" fieldPosition="0">
        <references count="1">
          <reference field="2" count="0"/>
        </references>
      </pivotArea>
    </format>
    <format dxfId="158">
      <pivotArea dataOnly="0" labelOnly="1" grandRow="1" outline="0" fieldPosition="0"/>
    </format>
    <format dxfId="157">
      <pivotArea dataOnly="0" labelOnly="1" outline="0" axis="axisValues" fieldPosition="0"/>
    </format>
    <format dxfId="156">
      <pivotArea type="all" dataOnly="0" outline="0" fieldPosition="0"/>
    </format>
    <format dxfId="155">
      <pivotArea outline="0" collapsedLevelsAreSubtotals="1" fieldPosition="0"/>
    </format>
    <format dxfId="154">
      <pivotArea field="2" type="button" dataOnly="0" labelOnly="1" outline="0" axis="axisRow" fieldPosition="0"/>
    </format>
    <format dxfId="153">
      <pivotArea dataOnly="0" labelOnly="1" fieldPosition="0">
        <references count="1">
          <reference field="2" count="0"/>
        </references>
      </pivotArea>
    </format>
    <format dxfId="152">
      <pivotArea dataOnly="0" labelOnly="1" grandRow="1" outline="0" fieldPosition="0"/>
    </format>
    <format dxfId="151">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2" count="1" selected="0">
            <x v="3"/>
          </reference>
        </references>
      </pivotArea>
    </chartFormat>
    <chartFormat chart="5" format="4">
      <pivotArea type="data" outline="0" fieldPosition="0">
        <references count="2">
          <reference field="4294967294" count="1" selected="0">
            <x v="0"/>
          </reference>
          <reference field="2" count="1" selected="0">
            <x v="8"/>
          </reference>
        </references>
      </pivotArea>
    </chartFormat>
    <chartFormat chart="5" format="5">
      <pivotArea type="data" outline="0" fieldPosition="0">
        <references count="2">
          <reference field="4294967294" count="1" selected="0">
            <x v="0"/>
          </reference>
          <reference field="2" count="1" selected="0">
            <x v="5"/>
          </reference>
        </references>
      </pivotArea>
    </chartFormat>
    <chartFormat chart="5" format="6">
      <pivotArea type="data" outline="0" fieldPosition="0">
        <references count="2">
          <reference field="4294967294" count="1" selected="0">
            <x v="0"/>
          </reference>
          <reference field="2" count="1" selected="0">
            <x v="6"/>
          </reference>
        </references>
      </pivotArea>
    </chartFormat>
    <chartFormat chart="5" format="7">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CE8DA6-199A-4245-AF8F-4A444DEC39A2}"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9:E11" firstHeaderRow="1" firstDataRow="1" firstDataCol="1"/>
  <pivotFields count="14">
    <pivotField showAll="0"/>
    <pivotField showAll="0"/>
    <pivotField showAll="0"/>
    <pivotField showAll="0"/>
    <pivotField numFmtId="14" showAll="0"/>
    <pivotField numFmtId="14" showAll="0"/>
    <pivotField axis="axisRow" showAll="0">
      <items count="30">
        <item h="1" x="22"/>
        <item h="1" x="0"/>
        <item h="1" x="1"/>
        <item h="1" x="2"/>
        <item h="1" x="3"/>
        <item h="1" x="27"/>
        <item h="1" x="5"/>
        <item h="1" x="6"/>
        <item h="1" x="7"/>
        <item h="1" x="4"/>
        <item h="1" x="8"/>
        <item h="1" x="9"/>
        <item h="1" x="10"/>
        <item h="1" x="11"/>
        <item h="1" x="23"/>
        <item x="12"/>
        <item h="1" x="13"/>
        <item h="1" x="14"/>
        <item h="1" x="24"/>
        <item h="1" x="15"/>
        <item h="1" x="25"/>
        <item h="1" x="16"/>
        <item h="1" x="17"/>
        <item h="1" x="18"/>
        <item h="1" x="26"/>
        <item h="1" x="20"/>
        <item h="1" x="19"/>
        <item h="1" x="28"/>
        <item h="1" x="21"/>
        <item t="default"/>
      </items>
    </pivotField>
    <pivotField showAll="0">
      <items count="5">
        <item x="3"/>
        <item x="0"/>
        <item x="1"/>
        <item x="2"/>
        <item t="default"/>
      </items>
    </pivotField>
    <pivotField showAll="0"/>
    <pivotField numFmtId="164" showAll="0"/>
    <pivotField showAll="0"/>
    <pivotField dataField="1" numFmtId="164" showAll="0">
      <items count="11">
        <item x="3"/>
        <item x="2"/>
        <item x="9"/>
        <item x="5"/>
        <item x="6"/>
        <item x="0"/>
        <item x="7"/>
        <item x="4"/>
        <item x="8"/>
        <item x="1"/>
        <item t="default"/>
      </items>
    </pivotField>
    <pivotField numFmtId="164" showAll="0"/>
    <pivotField showAll="0"/>
  </pivotFields>
  <rowFields count="1">
    <field x="6"/>
  </rowFields>
  <rowItems count="2">
    <i>
      <x v="15"/>
    </i>
    <i t="grand">
      <x/>
    </i>
  </rowItems>
  <colItems count="1">
    <i/>
  </colItems>
  <dataFields count="1">
    <dataField name="Sum of Order_Value" fld="11" baseField="0" baseItem="0" numFmtId="164"/>
  </dataFields>
  <formats count="21">
    <format dxfId="150">
      <pivotArea type="all" dataOnly="0" outline="0" fieldPosition="0"/>
    </format>
    <format dxfId="149">
      <pivotArea outline="0" collapsedLevelsAreSubtotals="1" fieldPosition="0"/>
    </format>
    <format dxfId="148">
      <pivotArea field="6" type="button" dataOnly="0" labelOnly="1" outline="0" axis="axisRow" fieldPosition="0"/>
    </format>
    <format dxfId="147">
      <pivotArea dataOnly="0" labelOnly="1" fieldPosition="0">
        <references count="1">
          <reference field="6" count="0"/>
        </references>
      </pivotArea>
    </format>
    <format dxfId="146">
      <pivotArea dataOnly="0" labelOnly="1" grandRow="1" outline="0" fieldPosition="0"/>
    </format>
    <format dxfId="145">
      <pivotArea dataOnly="0" labelOnly="1" outline="0" axis="axisValues" fieldPosition="0"/>
    </format>
    <format dxfId="144">
      <pivotArea type="all" dataOnly="0" outline="0" fieldPosition="0"/>
    </format>
    <format dxfId="143">
      <pivotArea outline="0" collapsedLevelsAreSubtotals="1" fieldPosition="0"/>
    </format>
    <format dxfId="142">
      <pivotArea field="6" type="button" dataOnly="0" labelOnly="1" outline="0" axis="axisRow" fieldPosition="0"/>
    </format>
    <format dxfId="141">
      <pivotArea dataOnly="0" labelOnly="1" fieldPosition="0">
        <references count="1">
          <reference field="6" count="0"/>
        </references>
      </pivotArea>
    </format>
    <format dxfId="140">
      <pivotArea dataOnly="0" labelOnly="1" grandRow="1" outline="0" fieldPosition="0"/>
    </format>
    <format dxfId="139">
      <pivotArea dataOnly="0" labelOnly="1" outline="0" axis="axisValues" fieldPosition="0"/>
    </format>
    <format dxfId="138">
      <pivotArea collapsedLevelsAreSubtotals="1" fieldPosition="0">
        <references count="1">
          <reference field="6" count="1">
            <x v="8"/>
          </reference>
        </references>
      </pivotArea>
    </format>
    <format dxfId="137">
      <pivotArea collapsedLevelsAreSubtotals="1" fieldPosition="0">
        <references count="1">
          <reference field="6" count="1">
            <x v="11"/>
          </reference>
        </references>
      </pivotArea>
    </format>
    <format dxfId="136">
      <pivotArea collapsedLevelsAreSubtotals="1" fieldPosition="0">
        <references count="1">
          <reference field="6" count="1">
            <x v="13"/>
          </reference>
        </references>
      </pivotArea>
    </format>
    <format dxfId="135">
      <pivotArea collapsedLevelsAreSubtotals="1" fieldPosition="0">
        <references count="1">
          <reference field="6" count="1">
            <x v="15"/>
          </reference>
        </references>
      </pivotArea>
    </format>
    <format dxfId="134">
      <pivotArea collapsedLevelsAreSubtotals="1" fieldPosition="0">
        <references count="1">
          <reference field="6" count="1">
            <x v="17"/>
          </reference>
        </references>
      </pivotArea>
    </format>
    <format dxfId="133">
      <pivotArea collapsedLevelsAreSubtotals="1" fieldPosition="0">
        <references count="1">
          <reference field="6" count="1">
            <x v="21"/>
          </reference>
        </references>
      </pivotArea>
    </format>
    <format dxfId="132">
      <pivotArea collapsedLevelsAreSubtotals="1" fieldPosition="0">
        <references count="1">
          <reference field="6" count="1">
            <x v="22"/>
          </reference>
        </references>
      </pivotArea>
    </format>
    <format dxfId="131">
      <pivotArea collapsedLevelsAreSubtotals="1" fieldPosition="0">
        <references count="1">
          <reference field="6" count="1">
            <x v="23"/>
          </reference>
        </references>
      </pivotArea>
    </format>
    <format dxfId="130">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E48DA84-D285-4A54-9764-C2B4CC9F8AF4}"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M7:N11" firstHeaderRow="1" firstDataRow="1" firstDataCol="1"/>
  <pivotFields count="16">
    <pivotField showAll="0"/>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items count="4">
        <item x="0"/>
        <item x="1"/>
        <item x="2"/>
        <item t="default"/>
      </items>
    </pivotField>
    <pivotField numFmtId="14" showAll="0">
      <items count="11">
        <item x="0"/>
        <item x="1"/>
        <item x="2"/>
        <item x="3"/>
        <item x="4"/>
        <item x="5"/>
        <item x="6"/>
        <item x="7"/>
        <item x="8"/>
        <item x="9"/>
        <item t="default"/>
      </items>
    </pivotField>
    <pivotField numFmtId="14" showAll="0"/>
    <pivotField showAll="0">
      <items count="5">
        <item h="1" x="3"/>
        <item x="0"/>
        <item h="1" x="1"/>
        <item h="1" x="2"/>
        <item t="default"/>
      </items>
    </pivotField>
    <pivotField showAll="0"/>
    <pivotField numFmtId="164" showAll="0"/>
    <pivotField showAll="0"/>
    <pivotField numFmtId="164" showAll="0"/>
    <pivotField numFmtId="164" showAll="0"/>
    <pivotField showAll="0">
      <items count="6">
        <item x="2"/>
        <item x="1"/>
        <item x="4"/>
        <item x="0"/>
        <item x="3"/>
        <item t="default"/>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s>
  <rowFields count="1">
    <field x="14"/>
  </rowFields>
  <rowItems count="4">
    <i>
      <x v="1"/>
    </i>
    <i>
      <x v="4"/>
    </i>
    <i>
      <x v="5"/>
    </i>
    <i t="grand">
      <x/>
    </i>
  </rowItems>
  <colItems count="1">
    <i/>
  </colItems>
  <dataFields count="1">
    <dataField name="Count of Customer_ID" fld="1" subtotal="count" baseField="0" baseItem="0"/>
  </dataFields>
  <formats count="12">
    <format dxfId="86">
      <pivotArea type="all" dataOnly="0" outline="0" fieldPosition="0"/>
    </format>
    <format dxfId="85">
      <pivotArea outline="0" collapsedLevelsAreSubtotals="1" fieldPosition="0"/>
    </format>
    <format dxfId="84">
      <pivotArea field="14" type="button" dataOnly="0" labelOnly="1" outline="0" axis="axisRow" fieldPosition="0"/>
    </format>
    <format dxfId="83">
      <pivotArea dataOnly="0" labelOnly="1" fieldPosition="0">
        <references count="1">
          <reference field="14" count="5">
            <x v="1"/>
            <x v="2"/>
            <x v="3"/>
            <x v="4"/>
            <x v="5"/>
          </reference>
        </references>
      </pivotArea>
    </format>
    <format dxfId="82">
      <pivotArea dataOnly="0" labelOnly="1" grandRow="1" outline="0" fieldPosition="0"/>
    </format>
    <format dxfId="81">
      <pivotArea dataOnly="0" labelOnly="1" outline="0" axis="axisValues" fieldPosition="0"/>
    </format>
    <format dxfId="80">
      <pivotArea type="all" dataOnly="0" outline="0" fieldPosition="0"/>
    </format>
    <format dxfId="79">
      <pivotArea outline="0" collapsedLevelsAreSubtotals="1" fieldPosition="0"/>
    </format>
    <format dxfId="78">
      <pivotArea field="14" type="button" dataOnly="0" labelOnly="1" outline="0" axis="axisRow" fieldPosition="0"/>
    </format>
    <format dxfId="77">
      <pivotArea dataOnly="0" labelOnly="1" fieldPosition="0">
        <references count="1">
          <reference field="14" count="5">
            <x v="1"/>
            <x v="2"/>
            <x v="3"/>
            <x v="4"/>
            <x v="5"/>
          </reference>
        </references>
      </pivotArea>
    </format>
    <format dxfId="76">
      <pivotArea dataOnly="0" labelOnly="1" grandRow="1" outline="0" fieldPosition="0"/>
    </format>
    <format dxfId="75">
      <pivotArea dataOnly="0" labelOnly="1" outline="0" axis="axisValues" fieldPosition="0"/>
    </format>
  </format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11C5384-C12D-4F65-9775-A109D316F33F}"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7:K11" firstHeaderRow="1" firstDataRow="1" firstDataCol="1"/>
  <pivotFields count="16">
    <pivotField showAll="0"/>
    <pivotField showAll="0"/>
    <pivotField showAll="0"/>
    <pivotField showAll="0">
      <items count="4">
        <item x="0"/>
        <item x="1"/>
        <item x="2"/>
        <item t="default"/>
      </items>
    </pivotField>
    <pivotField numFmtId="14" showAll="0">
      <items count="11">
        <item x="0"/>
        <item x="1"/>
        <item x="2"/>
        <item x="3"/>
        <item x="4"/>
        <item x="5"/>
        <item x="6"/>
        <item x="7"/>
        <item x="8"/>
        <item x="9"/>
        <item t="default"/>
      </items>
    </pivotField>
    <pivotField numFmtId="14" showAll="0"/>
    <pivotField showAll="0">
      <items count="5">
        <item h="1" x="3"/>
        <item x="0"/>
        <item h="1" x="1"/>
        <item h="1" x="2"/>
        <item t="default"/>
      </items>
    </pivotField>
    <pivotField dataField="1" showAll="0"/>
    <pivotField numFmtId="164" showAll="0"/>
    <pivotField showAll="0"/>
    <pivotField numFmtId="164" showAll="0"/>
    <pivotField numFmtId="164" showAll="0"/>
    <pivotField showAll="0">
      <items count="6">
        <item x="2"/>
        <item x="1"/>
        <item x="4"/>
        <item x="0"/>
        <item x="3"/>
        <item t="default"/>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s>
  <rowFields count="1">
    <field x="14"/>
  </rowFields>
  <rowItems count="4">
    <i>
      <x v="1"/>
    </i>
    <i>
      <x v="4"/>
    </i>
    <i>
      <x v="5"/>
    </i>
    <i t="grand">
      <x/>
    </i>
  </rowItems>
  <colItems count="1">
    <i/>
  </colItems>
  <dataFields count="1">
    <dataField name="Sum of Quantity" fld="7" baseField="0" baseItem="0"/>
  </dataFields>
  <formats count="12">
    <format dxfId="98">
      <pivotArea type="all" dataOnly="0" outline="0" fieldPosition="0"/>
    </format>
    <format dxfId="97">
      <pivotArea outline="0" collapsedLevelsAreSubtotals="1" fieldPosition="0"/>
    </format>
    <format dxfId="96">
      <pivotArea field="14" type="button" dataOnly="0" labelOnly="1" outline="0" axis="axisRow" fieldPosition="0"/>
    </format>
    <format dxfId="95">
      <pivotArea dataOnly="0" labelOnly="1" fieldPosition="0">
        <references count="1">
          <reference field="14" count="5">
            <x v="1"/>
            <x v="2"/>
            <x v="3"/>
            <x v="4"/>
            <x v="5"/>
          </reference>
        </references>
      </pivotArea>
    </format>
    <format dxfId="94">
      <pivotArea dataOnly="0" labelOnly="1" grandRow="1" outline="0" fieldPosition="0"/>
    </format>
    <format dxfId="93">
      <pivotArea dataOnly="0" labelOnly="1" outline="0" axis="axisValues" fieldPosition="0"/>
    </format>
    <format dxfId="92">
      <pivotArea type="all" dataOnly="0" outline="0" fieldPosition="0"/>
    </format>
    <format dxfId="91">
      <pivotArea outline="0" collapsedLevelsAreSubtotals="1" fieldPosition="0"/>
    </format>
    <format dxfId="90">
      <pivotArea field="14" type="button" dataOnly="0" labelOnly="1" outline="0" axis="axisRow" fieldPosition="0"/>
    </format>
    <format dxfId="89">
      <pivotArea dataOnly="0" labelOnly="1" fieldPosition="0">
        <references count="1">
          <reference field="14" count="5">
            <x v="1"/>
            <x v="2"/>
            <x v="3"/>
            <x v="4"/>
            <x v="5"/>
          </reference>
        </references>
      </pivotArea>
    </format>
    <format dxfId="88">
      <pivotArea dataOnly="0" labelOnly="1" grandRow="1" outline="0" fieldPosition="0"/>
    </format>
    <format dxfId="87">
      <pivotArea dataOnly="0" labelOnly="1" outline="0" axis="axisValues" fieldPosition="0"/>
    </format>
  </format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337BD9F-EA34-4D57-8ADA-DF2AF84EBB95}"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F7:G11" firstHeaderRow="1" firstDataRow="1" firstDataCol="1"/>
  <pivotFields count="16">
    <pivotField showAll="0"/>
    <pivotField showAll="0"/>
    <pivotField showAll="0"/>
    <pivotField showAll="0">
      <items count="4">
        <item x="0"/>
        <item x="1"/>
        <item x="2"/>
        <item t="default"/>
      </items>
    </pivotField>
    <pivotField numFmtId="14" showAll="0">
      <items count="11">
        <item x="0"/>
        <item x="1"/>
        <item x="2"/>
        <item x="3"/>
        <item x="4"/>
        <item x="5"/>
        <item x="6"/>
        <item x="7"/>
        <item x="8"/>
        <item x="9"/>
        <item t="default"/>
      </items>
    </pivotField>
    <pivotField numFmtId="14" showAll="0"/>
    <pivotField showAll="0">
      <items count="5">
        <item h="1" x="3"/>
        <item x="0"/>
        <item h="1" x="1"/>
        <item h="1" x="2"/>
        <item t="default"/>
      </items>
    </pivotField>
    <pivotField showAll="0"/>
    <pivotField numFmtId="164" showAll="0"/>
    <pivotField showAll="0"/>
    <pivotField numFmtId="164" showAll="0"/>
    <pivotField dataField="1" numFmtId="164" showAll="0"/>
    <pivotField showAll="0">
      <items count="6">
        <item x="2"/>
        <item x="1"/>
        <item x="4"/>
        <item x="0"/>
        <item x="3"/>
        <item t="default"/>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s>
  <rowFields count="1">
    <field x="14"/>
  </rowFields>
  <rowItems count="4">
    <i>
      <x v="1"/>
    </i>
    <i>
      <x v="4"/>
    </i>
    <i>
      <x v="5"/>
    </i>
    <i t="grand">
      <x/>
    </i>
  </rowItems>
  <colItems count="1">
    <i/>
  </colItems>
  <dataFields count="1">
    <dataField name="Sum of Profit" fld="11" baseField="0" baseItem="0" numFmtId="164"/>
  </dataFields>
  <formats count="14">
    <format dxfId="112">
      <pivotArea type="all" dataOnly="0" outline="0" fieldPosition="0"/>
    </format>
    <format dxfId="111">
      <pivotArea outline="0" collapsedLevelsAreSubtotals="1" fieldPosition="0"/>
    </format>
    <format dxfId="110">
      <pivotArea field="14" type="button" dataOnly="0" labelOnly="1" outline="0" axis="axisRow" fieldPosition="0"/>
    </format>
    <format dxfId="109">
      <pivotArea dataOnly="0" labelOnly="1" fieldPosition="0">
        <references count="1">
          <reference field="14" count="5">
            <x v="1"/>
            <x v="2"/>
            <x v="3"/>
            <x v="4"/>
            <x v="5"/>
          </reference>
        </references>
      </pivotArea>
    </format>
    <format dxfId="108">
      <pivotArea dataOnly="0" labelOnly="1" grandRow="1" outline="0" fieldPosition="0"/>
    </format>
    <format dxfId="107">
      <pivotArea dataOnly="0" labelOnly="1" outline="0" axis="axisValues" fieldPosition="0"/>
    </format>
    <format dxfId="106">
      <pivotArea type="all" dataOnly="0" outline="0" fieldPosition="0"/>
    </format>
    <format dxfId="105">
      <pivotArea outline="0" collapsedLevelsAreSubtotals="1" fieldPosition="0"/>
    </format>
    <format dxfId="104">
      <pivotArea field="14" type="button" dataOnly="0" labelOnly="1" outline="0" axis="axisRow" fieldPosition="0"/>
    </format>
    <format dxfId="103">
      <pivotArea dataOnly="0" labelOnly="1" fieldPosition="0">
        <references count="1">
          <reference field="14" count="5">
            <x v="1"/>
            <x v="2"/>
            <x v="3"/>
            <x v="4"/>
            <x v="5"/>
          </reference>
        </references>
      </pivotArea>
    </format>
    <format dxfId="102">
      <pivotArea dataOnly="0" labelOnly="1" grandRow="1" outline="0" fieldPosition="0"/>
    </format>
    <format dxfId="101">
      <pivotArea dataOnly="0" labelOnly="1" outline="0" axis="axisValues" fieldPosition="0"/>
    </format>
    <format dxfId="100">
      <pivotArea collapsedLevelsAreSubtotals="1" fieldPosition="0">
        <references count="1">
          <reference field="14" count="1">
            <x v="4"/>
          </reference>
        </references>
      </pivotArea>
    </format>
    <format dxfId="99">
      <pivotArea grandRow="1"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6F9D153-3ECE-4EC3-8A78-6276CDE59BE1}"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C7:D11" firstHeaderRow="1" firstDataRow="1" firstDataCol="1"/>
  <pivotFields count="16">
    <pivotField showAll="0"/>
    <pivotField showAll="0"/>
    <pivotField showAll="0"/>
    <pivotField showAll="0">
      <items count="4">
        <item x="0"/>
        <item x="1"/>
        <item x="2"/>
        <item t="default"/>
      </items>
    </pivotField>
    <pivotField numFmtId="14" showAll="0">
      <items count="11">
        <item x="0"/>
        <item x="1"/>
        <item x="2"/>
        <item x="3"/>
        <item x="4"/>
        <item x="5"/>
        <item x="6"/>
        <item x="7"/>
        <item x="8"/>
        <item x="9"/>
        <item t="default"/>
      </items>
    </pivotField>
    <pivotField numFmtId="14" showAll="0"/>
    <pivotField showAll="0">
      <items count="5">
        <item h="1" x="3"/>
        <item x="0"/>
        <item h="1" x="1"/>
        <item h="1" x="2"/>
        <item t="default"/>
      </items>
    </pivotField>
    <pivotField showAll="0"/>
    <pivotField numFmtId="164" showAll="0"/>
    <pivotField showAll="0"/>
    <pivotField dataField="1" numFmtId="164" showAll="0"/>
    <pivotField numFmtId="164" showAll="0"/>
    <pivotField showAll="0">
      <items count="6">
        <item x="2"/>
        <item x="1"/>
        <item x="4"/>
        <item x="0"/>
        <item x="3"/>
        <item t="default"/>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s>
  <rowFields count="1">
    <field x="14"/>
  </rowFields>
  <rowItems count="4">
    <i>
      <x v="1"/>
    </i>
    <i>
      <x v="4"/>
    </i>
    <i>
      <x v="5"/>
    </i>
    <i t="grand">
      <x/>
    </i>
  </rowItems>
  <colItems count="1">
    <i/>
  </colItems>
  <dataFields count="1">
    <dataField name="Sum of Order_Value" fld="10" baseField="0" baseItem="0" numFmtId="164"/>
  </dataFields>
  <formats count="17">
    <format dxfId="129">
      <pivotArea type="all" dataOnly="0" outline="0" fieldPosition="0"/>
    </format>
    <format dxfId="128">
      <pivotArea outline="0" collapsedLevelsAreSubtotals="1" fieldPosition="0"/>
    </format>
    <format dxfId="127">
      <pivotArea field="14" type="button" dataOnly="0" labelOnly="1" outline="0" axis="axisRow" fieldPosition="0"/>
    </format>
    <format dxfId="126">
      <pivotArea dataOnly="0" labelOnly="1" fieldPosition="0">
        <references count="1">
          <reference field="14" count="5">
            <x v="1"/>
            <x v="2"/>
            <x v="3"/>
            <x v="4"/>
            <x v="5"/>
          </reference>
        </references>
      </pivotArea>
    </format>
    <format dxfId="125">
      <pivotArea dataOnly="0" labelOnly="1" grandRow="1" outline="0" fieldPosition="0"/>
    </format>
    <format dxfId="124">
      <pivotArea dataOnly="0" labelOnly="1" outline="0" axis="axisValues" fieldPosition="0"/>
    </format>
    <format dxfId="123">
      <pivotArea type="all" dataOnly="0" outline="0" fieldPosition="0"/>
    </format>
    <format dxfId="122">
      <pivotArea outline="0" collapsedLevelsAreSubtotals="1" fieldPosition="0"/>
    </format>
    <format dxfId="121">
      <pivotArea field="14" type="button" dataOnly="0" labelOnly="1" outline="0" axis="axisRow" fieldPosition="0"/>
    </format>
    <format dxfId="120">
      <pivotArea dataOnly="0" labelOnly="1" fieldPosition="0">
        <references count="1">
          <reference field="14" count="5">
            <x v="1"/>
            <x v="2"/>
            <x v="3"/>
            <x v="4"/>
            <x v="5"/>
          </reference>
        </references>
      </pivotArea>
    </format>
    <format dxfId="119">
      <pivotArea dataOnly="0" labelOnly="1" grandRow="1" outline="0" fieldPosition="0"/>
    </format>
    <format dxfId="118">
      <pivotArea dataOnly="0" labelOnly="1" outline="0" axis="axisValues" fieldPosition="0"/>
    </format>
    <format dxfId="117">
      <pivotArea collapsedLevelsAreSubtotals="1" fieldPosition="0">
        <references count="1">
          <reference field="14" count="1">
            <x v="1"/>
          </reference>
        </references>
      </pivotArea>
    </format>
    <format dxfId="116">
      <pivotArea collapsedLevelsAreSubtotals="1" fieldPosition="0">
        <references count="1">
          <reference field="14" count="1">
            <x v="2"/>
          </reference>
        </references>
      </pivotArea>
    </format>
    <format dxfId="115">
      <pivotArea collapsedLevelsAreSubtotals="1" fieldPosition="0">
        <references count="1">
          <reference field="14" count="1">
            <x v="4"/>
          </reference>
        </references>
      </pivotArea>
    </format>
    <format dxfId="114">
      <pivotArea collapsedLevelsAreSubtotals="1" fieldPosition="0">
        <references count="1">
          <reference field="14" count="1">
            <x v="5"/>
          </reference>
        </references>
      </pivotArea>
    </format>
    <format dxfId="113">
      <pivotArea grandRow="1"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7BA363F-CFA3-42D3-86E1-CA2EC10C7D3D}" name="PivotTable2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E6:I9" firstHeaderRow="0" firstDataRow="1" firstDataCol="1"/>
  <pivotFields count="16">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showAll="0">
      <items count="4">
        <item x="0"/>
        <item x="1"/>
        <item x="2"/>
        <item t="default"/>
      </items>
    </pivotField>
    <pivotField numFmtId="14" showAll="0">
      <items count="11">
        <item x="0"/>
        <item x="1"/>
        <item x="2"/>
        <item x="3"/>
        <item x="4"/>
        <item x="5"/>
        <item x="6"/>
        <item x="7"/>
        <item x="8"/>
        <item x="9"/>
        <item t="default"/>
      </items>
    </pivotField>
    <pivotField numFmtId="14" showAll="0"/>
    <pivotField showAll="0">
      <items count="5">
        <item h="1" x="3"/>
        <item x="0"/>
        <item h="1" x="1"/>
        <item h="1" x="2"/>
        <item t="default"/>
      </items>
    </pivotField>
    <pivotField dataField="1" showAll="0"/>
    <pivotField numFmtId="164" showAll="0"/>
    <pivotField showAll="0"/>
    <pivotField dataField="1" numFmtId="164" showAll="0"/>
    <pivotField dataField="1" numFmtId="164" showAll="0"/>
    <pivotField showAll="0">
      <items count="6">
        <item x="2"/>
        <item x="1"/>
        <item x="4"/>
        <item x="0"/>
        <item x="3"/>
        <item t="default"/>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s>
  <rowFields count="1">
    <field x="14"/>
  </rowFields>
  <rowItems count="3">
    <i>
      <x v="1"/>
    </i>
    <i>
      <x v="4"/>
    </i>
    <i>
      <x v="5"/>
    </i>
  </rowItems>
  <colFields count="1">
    <field x="-2"/>
  </colFields>
  <colItems count="4">
    <i>
      <x/>
    </i>
    <i i="1">
      <x v="1"/>
    </i>
    <i i="2">
      <x v="2"/>
    </i>
    <i i="3">
      <x v="3"/>
    </i>
  </colItems>
  <dataFields count="4">
    <dataField name="Sum of Order_Value" fld="10" baseField="0" baseItem="0" numFmtId="164"/>
    <dataField name="Sum of Profit" fld="11" baseField="0" baseItem="0" numFmtId="164"/>
    <dataField name="Sum of Quantity" fld="7" baseField="0" baseItem="0"/>
    <dataField name="Count of Order_ID" fld="0" subtotal="count" baseField="0" baseItem="0"/>
  </dataFields>
  <formats count="12">
    <format dxfId="74">
      <pivotArea type="all" dataOnly="0" outline="0" fieldPosition="0"/>
    </format>
    <format dxfId="73">
      <pivotArea outline="0" collapsedLevelsAreSubtotals="1" fieldPosition="0"/>
    </format>
    <format dxfId="72">
      <pivotArea field="14" type="button" dataOnly="0" labelOnly="1" outline="0" axis="axisRow" fieldPosition="0"/>
    </format>
    <format dxfId="71">
      <pivotArea dataOnly="0" labelOnly="1" fieldPosition="0">
        <references count="1">
          <reference field="14" count="5">
            <x v="1"/>
            <x v="2"/>
            <x v="3"/>
            <x v="4"/>
            <x v="5"/>
          </reference>
        </references>
      </pivotArea>
    </format>
    <format dxfId="70">
      <pivotArea dataOnly="0" labelOnly="1" grandRow="1" outline="0" fieldPosition="0"/>
    </format>
    <format dxfId="69">
      <pivotArea dataOnly="0" labelOnly="1" outline="0" fieldPosition="0">
        <references count="1">
          <reference field="4294967294" count="4">
            <x v="0"/>
            <x v="1"/>
            <x v="2"/>
            <x v="3"/>
          </reference>
        </references>
      </pivotArea>
    </format>
    <format dxfId="68">
      <pivotArea type="all" dataOnly="0" outline="0" fieldPosition="0"/>
    </format>
    <format dxfId="67">
      <pivotArea outline="0" collapsedLevelsAreSubtotals="1" fieldPosition="0"/>
    </format>
    <format dxfId="66">
      <pivotArea field="14" type="button" dataOnly="0" labelOnly="1" outline="0" axis="axisRow" fieldPosition="0"/>
    </format>
    <format dxfId="65">
      <pivotArea dataOnly="0" labelOnly="1" fieldPosition="0">
        <references count="1">
          <reference field="14" count="5">
            <x v="1"/>
            <x v="2"/>
            <x v="3"/>
            <x v="4"/>
            <x v="5"/>
          </reference>
        </references>
      </pivotArea>
    </format>
    <format dxfId="64">
      <pivotArea dataOnly="0" labelOnly="1" grandRow="1" outline="0" fieldPosition="0"/>
    </format>
    <format dxfId="63">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31F2B0D-2185-41F3-AA17-25B472BAB890}" sourceName="Region">
  <pivotTables>
    <pivotTable tabId="11" name="PivotTable14"/>
    <pivotTable tabId="6" name="PivotTable10"/>
    <pivotTable tabId="13" name="PivotTable17"/>
    <pivotTable tabId="13" name="PivotTable18"/>
    <pivotTable tabId="13" name="PivotTable19"/>
    <pivotTable tabId="13" name="PivotTable20"/>
    <pivotTable tabId="17" name="PivotTable22"/>
    <pivotTable tabId="8" name="PivotTable12"/>
    <pivotTable tabId="7" name="PivotTable11"/>
  </pivotTables>
  <data>
    <tabular pivotCacheId="1437625065">
      <items count="4">
        <i x="3"/>
        <i x="0" s="1"/>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B24BFF6A-3284-4BF2-9848-1AFC660CA093}" sourceName="Months (Order_Date)">
  <pivotTables>
    <pivotTable tabId="11" name="PivotTable14"/>
    <pivotTable tabId="6" name="PivotTable10"/>
    <pivotTable tabId="13" name="PivotTable17"/>
    <pivotTable tabId="13" name="PivotTable18"/>
    <pivotTable tabId="13" name="PivotTable19"/>
    <pivotTable tabId="13" name="PivotTable20"/>
    <pivotTable tabId="8" name="PivotTable12"/>
    <pivotTable tabId="7" name="PivotTable11"/>
  </pivotTables>
  <data>
    <tabular pivotCacheId="1437625065">
      <items count="14">
        <i x="1" s="1"/>
        <i x="4" s="1"/>
        <i x="5" s="1"/>
        <i x="2" s="1" nd="1"/>
        <i x="3" s="1" nd="1"/>
        <i x="6" s="1" nd="1"/>
        <i x="7" s="1" nd="1"/>
        <i x="8" s="1" nd="1"/>
        <i x="9" s="1" nd="1"/>
        <i x="10" s="1" nd="1"/>
        <i x="11" s="1" nd="1"/>
        <i x="12" s="1" nd="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7A6DAF2-E433-4956-8BBD-4AECE20B8A1A}" sourceName="Category">
  <pivotTables>
    <pivotTable tabId="11" name="PivotTable14"/>
    <pivotTable tabId="6" name="PivotTable10"/>
    <pivotTable tabId="13" name="PivotTable17"/>
    <pivotTable tabId="13" name="PivotTable18"/>
    <pivotTable tabId="13" name="PivotTable19"/>
    <pivotTable tabId="13" name="PivotTable20"/>
    <pivotTable tabId="17" name="PivotTable22"/>
    <pivotTable tabId="8" name="PivotTable12"/>
    <pivotTable tabId="7" name="PivotTable11"/>
  </pivotTables>
  <data>
    <tabular pivotCacheId="1437625065">
      <items count="3">
        <i x="0" s="1"/>
        <i x="2" s="1"/>
        <i x="1"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A78A4B4C-D8E3-4F8F-9D3F-A8867E1A929B}" sourceName="Payment_Mode">
  <pivotTables>
    <pivotTable tabId="11" name="PivotTable14"/>
    <pivotTable tabId="6" name="PivotTable10"/>
    <pivotTable tabId="13" name="PivotTable17"/>
    <pivotTable tabId="13" name="PivotTable18"/>
    <pivotTable tabId="13" name="PivotTable19"/>
    <pivotTable tabId="13" name="PivotTable20"/>
    <pivotTable tabId="17" name="PivotTable22"/>
    <pivotTable tabId="8" name="PivotTable12"/>
    <pivotTable tabId="7" name="PivotTable11"/>
  </pivotTables>
  <data>
    <tabular pivotCacheId="1437625065">
      <items count="5">
        <i x="4" s="1"/>
        <i x="0" s="1"/>
        <i x="2" s="1" nd="1"/>
        <i x="1" s="1" nd="1"/>
        <i x="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E1E01F3-131C-4662-A96E-5F6120A05FF9}" sourceName="State">
  <pivotTables>
    <pivotTable tabId="21" name="PivotTable5"/>
  </pivotTables>
  <data>
    <tabular pivotCacheId="574863325">
      <items count="29">
        <i x="22"/>
        <i x="0"/>
        <i x="1"/>
        <i x="2"/>
        <i x="3"/>
        <i x="27"/>
        <i x="5"/>
        <i x="6"/>
        <i x="7"/>
        <i x="4"/>
        <i x="8"/>
        <i x="9"/>
        <i x="10"/>
        <i x="11"/>
        <i x="23"/>
        <i x="12" s="1"/>
        <i x="13"/>
        <i x="14"/>
        <i x="24"/>
        <i x="15"/>
        <i x="25"/>
        <i x="16"/>
        <i x="17"/>
        <i x="18"/>
        <i x="26"/>
        <i x="20"/>
        <i x="19"/>
        <i x="28"/>
        <i x="2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F476EB40-BFF4-4EC1-84CB-463B0E1AFA72}" cache="Slicer_Region" caption="Region" style="AB" rowHeight="234950"/>
  <slicer name="Months (Order_Date) 1" xr10:uid="{3D56860E-626E-4A68-8381-45F0990CA5BA}" cache="Slicer_Months__Order_Date" caption="Months (Order_Date)" style="AB" rowHeight="234950"/>
  <slicer name="Category 1" xr10:uid="{201AF671-E5DA-4688-AF70-8DFF8EB14584}" cache="Slicer_Category" caption="Category" style="AB" rowHeight="234950"/>
  <slicer name="Payment_Mode 1" xr10:uid="{A0F0833C-547E-4482-BD53-9292B72F7701}" cache="Slicer_Payment_Mode" caption="Payment_Mode" startItem="1" style="AB" rowHeight="234950"/>
  <slicer name="State 1" xr10:uid="{F18405B2-9D4E-418D-91CB-A7E23E8514ED}" cache="Slicer_State" caption="State" startItem="8" style="AB"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3D82808-84AF-480C-B202-9F3D49569262}" name="Table3" displayName="Table3" ref="A1:N101" totalsRowShown="0" headerRowDxfId="232" dataDxfId="231" tableBorderDxfId="230">
  <autoFilter ref="A1:N101" xr:uid="{13D82808-84AF-480C-B202-9F3D49569262}"/>
  <tableColumns count="14">
    <tableColumn id="1" xr3:uid="{64DBBC8E-AFD1-4F8F-8864-530DD167BDFD}" name="Order_ID" dataDxfId="229"/>
    <tableColumn id="2" xr3:uid="{48D6A4EB-7955-4D7B-9764-CCA4CB852C6E}" name="Customer_ID" dataDxfId="228"/>
    <tableColumn id="3" xr3:uid="{AE7796B6-2DC9-4E3B-B0E2-5FA44A0BA9A3}" name="Product" dataDxfId="227"/>
    <tableColumn id="4" xr3:uid="{53AA1769-336A-4B69-978C-12A286B69967}" name="Category" dataDxfId="226"/>
    <tableColumn id="5" xr3:uid="{DD03E117-F3CB-47D9-8B90-64A66A88493E}" name="Order_Date" dataDxfId="225"/>
    <tableColumn id="6" xr3:uid="{0863A4D0-78D5-4688-8DE4-40F6BBE915C8}" name="Ship_Date" dataDxfId="224"/>
    <tableColumn id="7" xr3:uid="{3F1178F1-DC0B-4F13-A755-DFC0B59271A9}" name="State" dataDxfId="223"/>
    <tableColumn id="8" xr3:uid="{DEB1A4B6-9EC3-474F-9B30-F55737B9467A}" name="Region" dataDxfId="222"/>
    <tableColumn id="9" xr3:uid="{422AADB7-5AD2-41C5-9EC9-C6008A3F12B8}" name="Quantity" dataDxfId="221"/>
    <tableColumn id="10" xr3:uid="{89BE0225-36EA-4F1B-9CFA-DF120144A277}" name="Price" dataDxfId="220"/>
    <tableColumn id="11" xr3:uid="{E754EAB2-4BCE-4C0F-B685-6309D710D5A2}" name="Discount(%)" dataDxfId="219"/>
    <tableColumn id="12" xr3:uid="{8EDA8C76-D512-49B3-B2D9-399120F94DB9}" name="Order_Value" dataDxfId="218"/>
    <tableColumn id="13" xr3:uid="{AAB6857D-39D2-4A3C-B048-6610185DB28E}" name="Profit" dataDxfId="217"/>
    <tableColumn id="14" xr3:uid="{C13FA96F-649E-4102-B986-52EE0CD560C8}" name="Payment_Mode" dataDxfId="21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drawing" Target="../drawings/drawing6.xml"/><Relationship Id="rId4"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928F8-5BD8-4A03-9DA9-F9B23158E678}">
  <dimension ref="C3:D49"/>
  <sheetViews>
    <sheetView zoomScale="140" workbookViewId="0">
      <selection activeCell="C18" sqref="C18"/>
    </sheetView>
  </sheetViews>
  <sheetFormatPr defaultRowHeight="14.4" x14ac:dyDescent="0.3"/>
  <cols>
    <col min="2" max="2" width="8.88671875" customWidth="1"/>
    <col min="3" max="3" width="61.21875" customWidth="1"/>
  </cols>
  <sheetData>
    <row r="3" spans="3:3" ht="21" x14ac:dyDescent="0.3">
      <c r="C3" s="53" t="s">
        <v>292</v>
      </c>
    </row>
    <row r="4" spans="3:3" x14ac:dyDescent="0.3">
      <c r="C4" s="49"/>
    </row>
    <row r="5" spans="3:3" x14ac:dyDescent="0.3">
      <c r="C5" s="55" t="s">
        <v>297</v>
      </c>
    </row>
    <row r="6" spans="3:3" x14ac:dyDescent="0.3">
      <c r="C6" s="50" t="s">
        <v>293</v>
      </c>
    </row>
    <row r="7" spans="3:3" x14ac:dyDescent="0.3">
      <c r="C7" s="50" t="s">
        <v>294</v>
      </c>
    </row>
    <row r="8" spans="3:3" x14ac:dyDescent="0.3">
      <c r="C8" s="50" t="s">
        <v>295</v>
      </c>
    </row>
    <row r="9" spans="3:3" x14ac:dyDescent="0.3">
      <c r="C9" s="50" t="s">
        <v>296</v>
      </c>
    </row>
    <row r="10" spans="3:3" x14ac:dyDescent="0.3">
      <c r="C10" s="49"/>
    </row>
    <row r="11" spans="3:3" x14ac:dyDescent="0.3">
      <c r="C11" s="55" t="s">
        <v>298</v>
      </c>
    </row>
    <row r="12" spans="3:3" x14ac:dyDescent="0.3">
      <c r="C12" s="50" t="s">
        <v>299</v>
      </c>
    </row>
    <row r="13" spans="3:3" x14ac:dyDescent="0.3">
      <c r="C13" s="50" t="s">
        <v>300</v>
      </c>
    </row>
    <row r="14" spans="3:3" x14ac:dyDescent="0.3">
      <c r="C14" s="50" t="s">
        <v>301</v>
      </c>
    </row>
    <row r="15" spans="3:3" x14ac:dyDescent="0.3">
      <c r="C15" s="50" t="s">
        <v>302</v>
      </c>
    </row>
    <row r="16" spans="3:3" x14ac:dyDescent="0.3">
      <c r="C16" s="50" t="s">
        <v>303</v>
      </c>
    </row>
    <row r="17" spans="3:4" x14ac:dyDescent="0.3">
      <c r="C17" s="49"/>
    </row>
    <row r="18" spans="3:4" x14ac:dyDescent="0.3">
      <c r="C18" s="54" t="s">
        <v>304</v>
      </c>
    </row>
    <row r="19" spans="3:4" x14ac:dyDescent="0.3">
      <c r="C19" s="51" t="s">
        <v>325</v>
      </c>
    </row>
    <row r="20" spans="3:4" x14ac:dyDescent="0.3">
      <c r="C20" s="51" t="s">
        <v>319</v>
      </c>
    </row>
    <row r="21" spans="3:4" x14ac:dyDescent="0.3">
      <c r="C21" s="49" t="s">
        <v>305</v>
      </c>
    </row>
    <row r="22" spans="3:4" x14ac:dyDescent="0.3">
      <c r="C22" s="49" t="s">
        <v>306</v>
      </c>
    </row>
    <row r="23" spans="3:4" x14ac:dyDescent="0.3">
      <c r="C23" s="52"/>
    </row>
    <row r="24" spans="3:4" x14ac:dyDescent="0.3">
      <c r="C24" s="55" t="s">
        <v>307</v>
      </c>
      <c r="D24" s="46"/>
    </row>
    <row r="25" spans="3:4" x14ac:dyDescent="0.3">
      <c r="C25" s="51" t="s">
        <v>320</v>
      </c>
    </row>
    <row r="26" spans="3:4" x14ac:dyDescent="0.3">
      <c r="C26" s="51" t="s">
        <v>321</v>
      </c>
    </row>
    <row r="27" spans="3:4" x14ac:dyDescent="0.3">
      <c r="C27" s="51" t="s">
        <v>322</v>
      </c>
    </row>
    <row r="28" spans="3:4" x14ac:dyDescent="0.3">
      <c r="C28" s="52" t="s">
        <v>308</v>
      </c>
    </row>
    <row r="29" spans="3:4" x14ac:dyDescent="0.3">
      <c r="C29" s="51" t="s">
        <v>323</v>
      </c>
    </row>
    <row r="30" spans="3:4" x14ac:dyDescent="0.3">
      <c r="C30" s="52"/>
    </row>
    <row r="31" spans="3:4" x14ac:dyDescent="0.3">
      <c r="C31" s="55" t="s">
        <v>309</v>
      </c>
    </row>
    <row r="32" spans="3:4" x14ac:dyDescent="0.3">
      <c r="C32" s="49" t="s">
        <v>310</v>
      </c>
    </row>
    <row r="33" spans="3:3" x14ac:dyDescent="0.3">
      <c r="C33" s="49" t="s">
        <v>311</v>
      </c>
    </row>
    <row r="34" spans="3:3" x14ac:dyDescent="0.3">
      <c r="C34" s="49" t="s">
        <v>312</v>
      </c>
    </row>
    <row r="35" spans="3:3" x14ac:dyDescent="0.3">
      <c r="C35" s="49" t="s">
        <v>313</v>
      </c>
    </row>
    <row r="36" spans="3:3" x14ac:dyDescent="0.3">
      <c r="C36" s="49" t="s">
        <v>314</v>
      </c>
    </row>
    <row r="37" spans="3:3" x14ac:dyDescent="0.3">
      <c r="C37" s="49" t="s">
        <v>315</v>
      </c>
    </row>
    <row r="38" spans="3:3" x14ac:dyDescent="0.3">
      <c r="C38" s="49"/>
    </row>
    <row r="39" spans="3:3" x14ac:dyDescent="0.3">
      <c r="C39" s="54" t="s">
        <v>316</v>
      </c>
    </row>
    <row r="40" spans="3:3" x14ac:dyDescent="0.3">
      <c r="C40" s="49" t="s">
        <v>317</v>
      </c>
    </row>
    <row r="41" spans="3:3" x14ac:dyDescent="0.3">
      <c r="C41" s="49" t="s">
        <v>324</v>
      </c>
    </row>
    <row r="42" spans="3:3" x14ac:dyDescent="0.3">
      <c r="C42" s="49" t="s">
        <v>318</v>
      </c>
    </row>
    <row r="43" spans="3:3" x14ac:dyDescent="0.3">
      <c r="C43" s="47"/>
    </row>
    <row r="44" spans="3:3" x14ac:dyDescent="0.3">
      <c r="C44" s="48"/>
    </row>
    <row r="45" spans="3:3" x14ac:dyDescent="0.3">
      <c r="C45" s="47"/>
    </row>
    <row r="46" spans="3:3" x14ac:dyDescent="0.3">
      <c r="C46" s="47"/>
    </row>
    <row r="47" spans="3:3" x14ac:dyDescent="0.3">
      <c r="C47" s="47"/>
    </row>
    <row r="48" spans="3:3" x14ac:dyDescent="0.3">
      <c r="C48" s="47"/>
    </row>
    <row r="49" spans="3:3" x14ac:dyDescent="0.3">
      <c r="C49" s="4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C10EF-E287-4C76-8C50-2F0999519869}">
  <dimension ref="A1:S105"/>
  <sheetViews>
    <sheetView zoomScale="71" workbookViewId="0">
      <selection activeCell="Q6" sqref="Q6"/>
    </sheetView>
  </sheetViews>
  <sheetFormatPr defaultRowHeight="14.4" x14ac:dyDescent="0.3"/>
  <cols>
    <col min="1" max="1" width="13" bestFit="1" customWidth="1"/>
    <col min="2" max="2" width="17" bestFit="1" customWidth="1"/>
    <col min="3" max="3" width="12.6640625" bestFit="1" customWidth="1"/>
    <col min="4" max="4" width="14.6640625" bestFit="1" customWidth="1"/>
    <col min="5" max="5" width="15.88671875" style="2" bestFit="1" customWidth="1"/>
    <col min="6" max="6" width="14.6640625" bestFit="1" customWidth="1"/>
    <col min="7" max="7" width="16.5546875" bestFit="1" customWidth="1"/>
    <col min="8" max="8" width="12" bestFit="1" customWidth="1"/>
    <col min="9" max="9" width="13.6640625" bestFit="1" customWidth="1"/>
    <col min="10" max="10" width="10.21875" style="5" bestFit="1" customWidth="1"/>
    <col min="11" max="11" width="16.21875" bestFit="1" customWidth="1"/>
    <col min="12" max="12" width="16.77734375" style="5" bestFit="1" customWidth="1"/>
    <col min="13" max="13" width="10.88671875" style="5" bestFit="1" customWidth="1"/>
    <col min="14" max="14" width="19.77734375" bestFit="1" customWidth="1"/>
    <col min="18" max="18" width="22.6640625" bestFit="1" customWidth="1"/>
    <col min="19" max="19" width="11.5546875" customWidth="1"/>
  </cols>
  <sheetData>
    <row r="1" spans="1:19" x14ac:dyDescent="0.3">
      <c r="A1" s="37" t="s">
        <v>0</v>
      </c>
      <c r="B1" s="38" t="s">
        <v>1</v>
      </c>
      <c r="C1" s="38" t="s">
        <v>2</v>
      </c>
      <c r="D1" s="38" t="s">
        <v>3</v>
      </c>
      <c r="E1" s="39" t="s">
        <v>4</v>
      </c>
      <c r="F1" s="38" t="s">
        <v>5</v>
      </c>
      <c r="G1" s="38" t="s">
        <v>260</v>
      </c>
      <c r="H1" s="38" t="s">
        <v>6</v>
      </c>
      <c r="I1" s="38" t="s">
        <v>7</v>
      </c>
      <c r="J1" s="40" t="s">
        <v>8</v>
      </c>
      <c r="K1" s="38" t="s">
        <v>9</v>
      </c>
      <c r="L1" s="40" t="s">
        <v>10</v>
      </c>
      <c r="M1" s="40" t="s">
        <v>11</v>
      </c>
      <c r="N1" s="38" t="s">
        <v>12</v>
      </c>
    </row>
    <row r="2" spans="1:19" x14ac:dyDescent="0.3">
      <c r="A2" s="34" t="s">
        <v>13</v>
      </c>
      <c r="B2" s="22" t="s">
        <v>14</v>
      </c>
      <c r="C2" s="22" t="s">
        <v>15</v>
      </c>
      <c r="D2" s="22" t="s">
        <v>16</v>
      </c>
      <c r="E2" s="23">
        <v>45296</v>
      </c>
      <c r="F2" s="23">
        <v>45298</v>
      </c>
      <c r="G2" s="24" t="s">
        <v>261</v>
      </c>
      <c r="H2" s="22" t="s">
        <v>17</v>
      </c>
      <c r="I2" s="22">
        <v>2</v>
      </c>
      <c r="J2" s="25">
        <v>15000</v>
      </c>
      <c r="K2" s="22">
        <v>10</v>
      </c>
      <c r="L2" s="25">
        <v>27000</v>
      </c>
      <c r="M2" s="25">
        <v>3500</v>
      </c>
      <c r="N2" s="22" t="s">
        <v>18</v>
      </c>
    </row>
    <row r="3" spans="1:19" x14ac:dyDescent="0.3">
      <c r="A3" s="35" t="s">
        <v>19</v>
      </c>
      <c r="B3" s="26" t="s">
        <v>20</v>
      </c>
      <c r="C3" s="26" t="s">
        <v>21</v>
      </c>
      <c r="D3" s="26" t="s">
        <v>16</v>
      </c>
      <c r="E3" s="27">
        <v>45332</v>
      </c>
      <c r="F3" s="27">
        <v>45336</v>
      </c>
      <c r="G3" s="28" t="s">
        <v>262</v>
      </c>
      <c r="H3" s="26" t="s">
        <v>22</v>
      </c>
      <c r="I3" s="26">
        <v>1</v>
      </c>
      <c r="J3" s="29">
        <v>50000</v>
      </c>
      <c r="K3" s="26">
        <v>5</v>
      </c>
      <c r="L3" s="29">
        <v>47500</v>
      </c>
      <c r="M3" s="29">
        <v>6000</v>
      </c>
      <c r="N3" s="26" t="s">
        <v>23</v>
      </c>
    </row>
    <row r="4" spans="1:19" x14ac:dyDescent="0.3">
      <c r="A4" s="34" t="s">
        <v>24</v>
      </c>
      <c r="B4" s="22" t="s">
        <v>25</v>
      </c>
      <c r="C4" s="22" t="s">
        <v>26</v>
      </c>
      <c r="D4" s="22" t="s">
        <v>27</v>
      </c>
      <c r="E4" s="23">
        <v>45354</v>
      </c>
      <c r="F4" s="23">
        <v>45356</v>
      </c>
      <c r="G4" s="24" t="s">
        <v>263</v>
      </c>
      <c r="H4" s="22" t="s">
        <v>28</v>
      </c>
      <c r="I4" s="22">
        <v>3</v>
      </c>
      <c r="J4" s="25">
        <v>2000</v>
      </c>
      <c r="K4" s="22">
        <v>0</v>
      </c>
      <c r="L4" s="25">
        <v>6000</v>
      </c>
      <c r="M4" s="25">
        <v>800</v>
      </c>
      <c r="N4" s="22" t="s">
        <v>29</v>
      </c>
      <c r="S4" s="5"/>
    </row>
    <row r="5" spans="1:19" x14ac:dyDescent="0.3">
      <c r="A5" s="35" t="s">
        <v>30</v>
      </c>
      <c r="B5" s="26" t="s">
        <v>31</v>
      </c>
      <c r="C5" s="26" t="s">
        <v>32</v>
      </c>
      <c r="D5" s="26" t="s">
        <v>27</v>
      </c>
      <c r="E5" s="27">
        <v>45371</v>
      </c>
      <c r="F5" s="27">
        <v>45373</v>
      </c>
      <c r="G5" s="28" t="s">
        <v>264</v>
      </c>
      <c r="H5" s="26" t="s">
        <v>33</v>
      </c>
      <c r="I5" s="26">
        <v>1</v>
      </c>
      <c r="J5" s="29">
        <v>2500</v>
      </c>
      <c r="K5" s="26">
        <v>20</v>
      </c>
      <c r="L5" s="29">
        <v>2000</v>
      </c>
      <c r="M5" s="29">
        <v>300</v>
      </c>
      <c r="N5" s="26" t="s">
        <v>34</v>
      </c>
      <c r="S5" s="5"/>
    </row>
    <row r="6" spans="1:19" x14ac:dyDescent="0.3">
      <c r="A6" s="34" t="s">
        <v>35</v>
      </c>
      <c r="B6" s="22" t="s">
        <v>36</v>
      </c>
      <c r="C6" s="22" t="s">
        <v>37</v>
      </c>
      <c r="D6" s="22" t="s">
        <v>16</v>
      </c>
      <c r="E6" s="23">
        <v>45383</v>
      </c>
      <c r="F6" s="23">
        <v>45388</v>
      </c>
      <c r="G6" s="24" t="s">
        <v>290</v>
      </c>
      <c r="H6" s="22" t="s">
        <v>17</v>
      </c>
      <c r="I6" s="22">
        <v>1</v>
      </c>
      <c r="J6" s="25">
        <v>40000</v>
      </c>
      <c r="K6" s="22">
        <v>15</v>
      </c>
      <c r="L6" s="25">
        <v>34000</v>
      </c>
      <c r="M6" s="25">
        <v>4500</v>
      </c>
      <c r="N6" s="22" t="s">
        <v>38</v>
      </c>
      <c r="S6" s="5"/>
    </row>
    <row r="7" spans="1:19" x14ac:dyDescent="0.3">
      <c r="A7" s="35" t="s">
        <v>39</v>
      </c>
      <c r="B7" s="26" t="s">
        <v>40</v>
      </c>
      <c r="C7" s="26" t="s">
        <v>41</v>
      </c>
      <c r="D7" s="26" t="s">
        <v>42</v>
      </c>
      <c r="E7" s="27">
        <v>45390</v>
      </c>
      <c r="F7" s="27">
        <v>45394</v>
      </c>
      <c r="G7" s="28" t="s">
        <v>266</v>
      </c>
      <c r="H7" s="26" t="s">
        <v>22</v>
      </c>
      <c r="I7" s="26">
        <v>2</v>
      </c>
      <c r="J7" s="29">
        <v>8000</v>
      </c>
      <c r="K7" s="26">
        <v>0</v>
      </c>
      <c r="L7" s="29">
        <v>16000</v>
      </c>
      <c r="M7" s="29">
        <v>2500</v>
      </c>
      <c r="N7" s="26" t="s">
        <v>18</v>
      </c>
    </row>
    <row r="8" spans="1:19" x14ac:dyDescent="0.3">
      <c r="A8" s="34" t="s">
        <v>43</v>
      </c>
      <c r="B8" s="22" t="s">
        <v>44</v>
      </c>
      <c r="C8" s="22" t="s">
        <v>45</v>
      </c>
      <c r="D8" s="22" t="s">
        <v>16</v>
      </c>
      <c r="E8" s="23">
        <v>45397</v>
      </c>
      <c r="F8" s="23">
        <v>45400</v>
      </c>
      <c r="G8" s="24" t="s">
        <v>267</v>
      </c>
      <c r="H8" s="22" t="s">
        <v>28</v>
      </c>
      <c r="I8" s="22">
        <v>1</v>
      </c>
      <c r="J8" s="25">
        <v>25000</v>
      </c>
      <c r="K8" s="22">
        <v>10</v>
      </c>
      <c r="L8" s="25">
        <v>22500</v>
      </c>
      <c r="M8" s="25">
        <v>4000</v>
      </c>
      <c r="N8" s="22" t="s">
        <v>23</v>
      </c>
    </row>
    <row r="9" spans="1:19" x14ac:dyDescent="0.3">
      <c r="A9" s="35" t="s">
        <v>46</v>
      </c>
      <c r="B9" s="26" t="s">
        <v>47</v>
      </c>
      <c r="C9" s="26" t="s">
        <v>48</v>
      </c>
      <c r="D9" s="26" t="s">
        <v>42</v>
      </c>
      <c r="E9" s="27">
        <v>45413</v>
      </c>
      <c r="F9" s="27">
        <v>45416</v>
      </c>
      <c r="G9" s="28" t="s">
        <v>268</v>
      </c>
      <c r="H9" s="26" t="s">
        <v>33</v>
      </c>
      <c r="I9" s="26">
        <v>1</v>
      </c>
      <c r="J9" s="29">
        <v>30000</v>
      </c>
      <c r="K9" s="26">
        <v>5</v>
      </c>
      <c r="L9" s="29">
        <v>28500</v>
      </c>
      <c r="M9" s="29">
        <v>3500</v>
      </c>
      <c r="N9" s="26" t="s">
        <v>29</v>
      </c>
    </row>
    <row r="10" spans="1:19" x14ac:dyDescent="0.3">
      <c r="A10" s="34" t="s">
        <v>49</v>
      </c>
      <c r="B10" s="22" t="s">
        <v>50</v>
      </c>
      <c r="C10" s="22" t="s">
        <v>51</v>
      </c>
      <c r="D10" s="22" t="s">
        <v>42</v>
      </c>
      <c r="E10" s="23">
        <v>45422</v>
      </c>
      <c r="F10" s="23">
        <v>45427</v>
      </c>
      <c r="G10" s="24" t="s">
        <v>269</v>
      </c>
      <c r="H10" s="22" t="s">
        <v>17</v>
      </c>
      <c r="I10" s="22">
        <v>1</v>
      </c>
      <c r="J10" s="25">
        <v>35000</v>
      </c>
      <c r="K10" s="22">
        <v>0</v>
      </c>
      <c r="L10" s="25">
        <v>35000</v>
      </c>
      <c r="M10" s="25">
        <v>5000</v>
      </c>
      <c r="N10" s="22" t="s">
        <v>18</v>
      </c>
    </row>
    <row r="11" spans="1:19" x14ac:dyDescent="0.3">
      <c r="A11" s="35" t="s">
        <v>52</v>
      </c>
      <c r="B11" s="26" t="s">
        <v>53</v>
      </c>
      <c r="C11" s="26" t="s">
        <v>54</v>
      </c>
      <c r="D11" s="26" t="s">
        <v>16</v>
      </c>
      <c r="E11" s="27">
        <v>45432</v>
      </c>
      <c r="F11" s="27">
        <v>45435</v>
      </c>
      <c r="G11" s="28" t="s">
        <v>270</v>
      </c>
      <c r="H11" s="26" t="s">
        <v>22</v>
      </c>
      <c r="I11" s="26">
        <v>4</v>
      </c>
      <c r="J11" s="29">
        <v>2000</v>
      </c>
      <c r="K11" s="26">
        <v>20</v>
      </c>
      <c r="L11" s="29">
        <v>6400</v>
      </c>
      <c r="M11" s="29">
        <v>1200</v>
      </c>
      <c r="N11" s="26" t="s">
        <v>34</v>
      </c>
    </row>
    <row r="12" spans="1:19" x14ac:dyDescent="0.3">
      <c r="A12" s="34" t="s">
        <v>55</v>
      </c>
      <c r="B12" s="22" t="s">
        <v>145</v>
      </c>
      <c r="C12" s="22" t="s">
        <v>15</v>
      </c>
      <c r="D12" s="22" t="s">
        <v>16</v>
      </c>
      <c r="E12" s="23">
        <v>45296</v>
      </c>
      <c r="F12" s="23">
        <v>45298</v>
      </c>
      <c r="G12" s="24" t="s">
        <v>271</v>
      </c>
      <c r="H12" s="22" t="s">
        <v>17</v>
      </c>
      <c r="I12" s="22">
        <v>2</v>
      </c>
      <c r="J12" s="25">
        <v>15000</v>
      </c>
      <c r="K12" s="22">
        <v>10</v>
      </c>
      <c r="L12" s="25">
        <v>27000</v>
      </c>
      <c r="M12" s="25">
        <v>3500</v>
      </c>
      <c r="N12" s="22" t="s">
        <v>18</v>
      </c>
    </row>
    <row r="13" spans="1:19" x14ac:dyDescent="0.3">
      <c r="A13" s="35" t="s">
        <v>56</v>
      </c>
      <c r="B13" s="26" t="s">
        <v>146</v>
      </c>
      <c r="C13" s="26" t="s">
        <v>21</v>
      </c>
      <c r="D13" s="26" t="s">
        <v>16</v>
      </c>
      <c r="E13" s="27">
        <v>45332</v>
      </c>
      <c r="F13" s="27">
        <v>45336</v>
      </c>
      <c r="G13" s="28" t="s">
        <v>291</v>
      </c>
      <c r="H13" s="26" t="s">
        <v>22</v>
      </c>
      <c r="I13" s="26">
        <v>1</v>
      </c>
      <c r="J13" s="29">
        <v>50000</v>
      </c>
      <c r="K13" s="26">
        <v>5</v>
      </c>
      <c r="L13" s="29">
        <v>47500</v>
      </c>
      <c r="M13" s="29">
        <v>6000</v>
      </c>
      <c r="N13" s="26" t="s">
        <v>23</v>
      </c>
    </row>
    <row r="14" spans="1:19" x14ac:dyDescent="0.3">
      <c r="A14" s="34" t="s">
        <v>57</v>
      </c>
      <c r="B14" s="22" t="s">
        <v>147</v>
      </c>
      <c r="C14" s="22" t="s">
        <v>26</v>
      </c>
      <c r="D14" s="22" t="s">
        <v>27</v>
      </c>
      <c r="E14" s="23">
        <v>45354</v>
      </c>
      <c r="F14" s="23">
        <v>45356</v>
      </c>
      <c r="G14" s="24" t="s">
        <v>273</v>
      </c>
      <c r="H14" s="22" t="s">
        <v>28</v>
      </c>
      <c r="I14" s="22">
        <v>3</v>
      </c>
      <c r="J14" s="25">
        <v>2000</v>
      </c>
      <c r="K14" s="22">
        <v>0</v>
      </c>
      <c r="L14" s="25">
        <v>6000</v>
      </c>
      <c r="M14" s="25">
        <v>800</v>
      </c>
      <c r="N14" s="22" t="s">
        <v>29</v>
      </c>
    </row>
    <row r="15" spans="1:19" x14ac:dyDescent="0.3">
      <c r="A15" s="35" t="s">
        <v>58</v>
      </c>
      <c r="B15" s="26" t="s">
        <v>148</v>
      </c>
      <c r="C15" s="26" t="s">
        <v>32</v>
      </c>
      <c r="D15" s="26" t="s">
        <v>27</v>
      </c>
      <c r="E15" s="27">
        <v>45371</v>
      </c>
      <c r="F15" s="27">
        <v>45373</v>
      </c>
      <c r="G15" s="28" t="s">
        <v>274</v>
      </c>
      <c r="H15" s="26" t="s">
        <v>33</v>
      </c>
      <c r="I15" s="26">
        <v>1</v>
      </c>
      <c r="J15" s="29">
        <v>2500</v>
      </c>
      <c r="K15" s="26">
        <v>20</v>
      </c>
      <c r="L15" s="29">
        <v>2000</v>
      </c>
      <c r="M15" s="29">
        <v>300</v>
      </c>
      <c r="N15" s="26" t="s">
        <v>34</v>
      </c>
    </row>
    <row r="16" spans="1:19" x14ac:dyDescent="0.3">
      <c r="A16" s="34" t="s">
        <v>59</v>
      </c>
      <c r="B16" s="22" t="s">
        <v>149</v>
      </c>
      <c r="C16" s="22" t="s">
        <v>37</v>
      </c>
      <c r="D16" s="22" t="s">
        <v>16</v>
      </c>
      <c r="E16" s="23">
        <v>45383</v>
      </c>
      <c r="F16" s="23">
        <v>45388</v>
      </c>
      <c r="G16" s="24" t="s">
        <v>275</v>
      </c>
      <c r="H16" s="22" t="s">
        <v>17</v>
      </c>
      <c r="I16" s="22">
        <v>1</v>
      </c>
      <c r="J16" s="25">
        <v>40000</v>
      </c>
      <c r="K16" s="22">
        <v>15</v>
      </c>
      <c r="L16" s="25">
        <v>34000</v>
      </c>
      <c r="M16" s="25">
        <v>4500</v>
      </c>
      <c r="N16" s="22" t="s">
        <v>38</v>
      </c>
    </row>
    <row r="17" spans="1:14" x14ac:dyDescent="0.3">
      <c r="A17" s="35" t="s">
        <v>60</v>
      </c>
      <c r="B17" s="26" t="s">
        <v>150</v>
      </c>
      <c r="C17" s="26" t="s">
        <v>41</v>
      </c>
      <c r="D17" s="26" t="s">
        <v>42</v>
      </c>
      <c r="E17" s="27">
        <v>45390</v>
      </c>
      <c r="F17" s="27">
        <v>45394</v>
      </c>
      <c r="G17" s="28" t="s">
        <v>274</v>
      </c>
      <c r="H17" s="26" t="s">
        <v>22</v>
      </c>
      <c r="I17" s="26">
        <v>2</v>
      </c>
      <c r="J17" s="29">
        <v>8000</v>
      </c>
      <c r="K17" s="26">
        <v>0</v>
      </c>
      <c r="L17" s="29">
        <v>16000</v>
      </c>
      <c r="M17" s="29">
        <v>2500</v>
      </c>
      <c r="N17" s="26" t="s">
        <v>18</v>
      </c>
    </row>
    <row r="18" spans="1:14" x14ac:dyDescent="0.3">
      <c r="A18" s="34" t="s">
        <v>61</v>
      </c>
      <c r="B18" s="22" t="s">
        <v>151</v>
      </c>
      <c r="C18" s="22" t="s">
        <v>45</v>
      </c>
      <c r="D18" s="22" t="s">
        <v>16</v>
      </c>
      <c r="E18" s="23">
        <v>45397</v>
      </c>
      <c r="F18" s="23">
        <v>45400</v>
      </c>
      <c r="G18" s="23" t="s">
        <v>277</v>
      </c>
      <c r="H18" s="22" t="s">
        <v>28</v>
      </c>
      <c r="I18" s="22">
        <v>1</v>
      </c>
      <c r="J18" s="25">
        <v>25000</v>
      </c>
      <c r="K18" s="22">
        <v>10</v>
      </c>
      <c r="L18" s="25">
        <v>22500</v>
      </c>
      <c r="M18" s="25">
        <v>4000</v>
      </c>
      <c r="N18" s="22" t="s">
        <v>23</v>
      </c>
    </row>
    <row r="19" spans="1:14" x14ac:dyDescent="0.3">
      <c r="A19" s="35" t="s">
        <v>62</v>
      </c>
      <c r="B19" s="26" t="s">
        <v>152</v>
      </c>
      <c r="C19" s="26" t="s">
        <v>48</v>
      </c>
      <c r="D19" s="26" t="s">
        <v>42</v>
      </c>
      <c r="E19" s="27">
        <v>45413</v>
      </c>
      <c r="F19" s="27">
        <v>45416</v>
      </c>
      <c r="G19" s="24" t="s">
        <v>273</v>
      </c>
      <c r="H19" s="26" t="s">
        <v>33</v>
      </c>
      <c r="I19" s="26">
        <v>1</v>
      </c>
      <c r="J19" s="29">
        <v>30000</v>
      </c>
      <c r="K19" s="26">
        <v>5</v>
      </c>
      <c r="L19" s="29">
        <v>28500</v>
      </c>
      <c r="M19" s="29">
        <v>3500</v>
      </c>
      <c r="N19" s="26" t="s">
        <v>29</v>
      </c>
    </row>
    <row r="20" spans="1:14" x14ac:dyDescent="0.3">
      <c r="A20" s="34" t="s">
        <v>63</v>
      </c>
      <c r="B20" s="22" t="s">
        <v>153</v>
      </c>
      <c r="C20" s="22" t="s">
        <v>51</v>
      </c>
      <c r="D20" s="22" t="s">
        <v>42</v>
      </c>
      <c r="E20" s="23">
        <v>45422</v>
      </c>
      <c r="F20" s="23">
        <v>45427</v>
      </c>
      <c r="G20" s="24" t="s">
        <v>279</v>
      </c>
      <c r="H20" s="22" t="s">
        <v>17</v>
      </c>
      <c r="I20" s="22">
        <v>1</v>
      </c>
      <c r="J20" s="25">
        <v>35000</v>
      </c>
      <c r="K20" s="22">
        <v>0</v>
      </c>
      <c r="L20" s="25">
        <v>35000</v>
      </c>
      <c r="M20" s="25">
        <v>5000</v>
      </c>
      <c r="N20" s="22" t="s">
        <v>18</v>
      </c>
    </row>
    <row r="21" spans="1:14" x14ac:dyDescent="0.3">
      <c r="A21" s="35" t="s">
        <v>64</v>
      </c>
      <c r="B21" s="26" t="s">
        <v>154</v>
      </c>
      <c r="C21" s="26" t="s">
        <v>54</v>
      </c>
      <c r="D21" s="26" t="s">
        <v>16</v>
      </c>
      <c r="E21" s="27">
        <v>45432</v>
      </c>
      <c r="F21" s="27">
        <v>45435</v>
      </c>
      <c r="G21" s="28" t="s">
        <v>280</v>
      </c>
      <c r="H21" s="26" t="s">
        <v>22</v>
      </c>
      <c r="I21" s="26">
        <v>4</v>
      </c>
      <c r="J21" s="29">
        <v>2000</v>
      </c>
      <c r="K21" s="26">
        <v>20</v>
      </c>
      <c r="L21" s="29">
        <v>6400</v>
      </c>
      <c r="M21" s="29">
        <v>1200</v>
      </c>
      <c r="N21" s="26" t="s">
        <v>34</v>
      </c>
    </row>
    <row r="22" spans="1:14" x14ac:dyDescent="0.3">
      <c r="A22" s="34" t="s">
        <v>65</v>
      </c>
      <c r="B22" s="22" t="s">
        <v>155</v>
      </c>
      <c r="C22" s="22" t="s">
        <v>15</v>
      </c>
      <c r="D22" s="22" t="s">
        <v>16</v>
      </c>
      <c r="E22" s="23">
        <v>45296</v>
      </c>
      <c r="F22" s="23">
        <v>45298</v>
      </c>
      <c r="G22" s="24" t="s">
        <v>281</v>
      </c>
      <c r="H22" s="22" t="s">
        <v>17</v>
      </c>
      <c r="I22" s="22">
        <v>2</v>
      </c>
      <c r="J22" s="25">
        <v>15000</v>
      </c>
      <c r="K22" s="22">
        <v>10</v>
      </c>
      <c r="L22" s="25">
        <v>27000</v>
      </c>
      <c r="M22" s="25">
        <v>3500</v>
      </c>
      <c r="N22" s="22" t="s">
        <v>18</v>
      </c>
    </row>
    <row r="23" spans="1:14" x14ac:dyDescent="0.3">
      <c r="A23" s="35" t="s">
        <v>66</v>
      </c>
      <c r="B23" s="26" t="s">
        <v>156</v>
      </c>
      <c r="C23" s="26" t="s">
        <v>21</v>
      </c>
      <c r="D23" s="26" t="s">
        <v>16</v>
      </c>
      <c r="E23" s="27">
        <v>45332</v>
      </c>
      <c r="F23" s="27">
        <v>45336</v>
      </c>
      <c r="G23" s="28" t="s">
        <v>284</v>
      </c>
      <c r="H23" s="26" t="s">
        <v>22</v>
      </c>
      <c r="I23" s="26">
        <v>1</v>
      </c>
      <c r="J23" s="29">
        <v>50000</v>
      </c>
      <c r="K23" s="26">
        <v>5</v>
      </c>
      <c r="L23" s="29">
        <v>47500</v>
      </c>
      <c r="M23" s="29">
        <v>6000</v>
      </c>
      <c r="N23" s="26" t="s">
        <v>23</v>
      </c>
    </row>
    <row r="24" spans="1:14" x14ac:dyDescent="0.3">
      <c r="A24" s="34" t="s">
        <v>67</v>
      </c>
      <c r="B24" s="22" t="s">
        <v>157</v>
      </c>
      <c r="C24" s="22" t="s">
        <v>26</v>
      </c>
      <c r="D24" s="22" t="s">
        <v>27</v>
      </c>
      <c r="E24" s="23">
        <v>45354</v>
      </c>
      <c r="F24" s="23">
        <v>45356</v>
      </c>
      <c r="G24" s="24" t="s">
        <v>283</v>
      </c>
      <c r="H24" s="22" t="s">
        <v>28</v>
      </c>
      <c r="I24" s="22">
        <v>3</v>
      </c>
      <c r="J24" s="25">
        <v>2000</v>
      </c>
      <c r="K24" s="22">
        <v>0</v>
      </c>
      <c r="L24" s="25">
        <v>6000</v>
      </c>
      <c r="M24" s="25">
        <v>800</v>
      </c>
      <c r="N24" s="22" t="s">
        <v>29</v>
      </c>
    </row>
    <row r="25" spans="1:14" x14ac:dyDescent="0.3">
      <c r="A25" s="35" t="s">
        <v>68</v>
      </c>
      <c r="B25" s="26" t="s">
        <v>158</v>
      </c>
      <c r="C25" s="26" t="s">
        <v>32</v>
      </c>
      <c r="D25" s="26" t="s">
        <v>27</v>
      </c>
      <c r="E25" s="27">
        <v>45371</v>
      </c>
      <c r="F25" s="27">
        <v>45373</v>
      </c>
      <c r="G25" s="28" t="s">
        <v>284</v>
      </c>
      <c r="H25" s="26" t="s">
        <v>33</v>
      </c>
      <c r="I25" s="26">
        <v>1</v>
      </c>
      <c r="J25" s="29">
        <v>2500</v>
      </c>
      <c r="K25" s="26">
        <v>20</v>
      </c>
      <c r="L25" s="29">
        <v>2000</v>
      </c>
      <c r="M25" s="29">
        <v>300</v>
      </c>
      <c r="N25" s="26" t="s">
        <v>34</v>
      </c>
    </row>
    <row r="26" spans="1:14" x14ac:dyDescent="0.3">
      <c r="A26" s="34" t="s">
        <v>69</v>
      </c>
      <c r="B26" s="22" t="s">
        <v>159</v>
      </c>
      <c r="C26" s="22" t="s">
        <v>37</v>
      </c>
      <c r="D26" s="22" t="s">
        <v>16</v>
      </c>
      <c r="E26" s="23">
        <v>45383</v>
      </c>
      <c r="F26" s="23">
        <v>45388</v>
      </c>
      <c r="G26" s="24" t="s">
        <v>273</v>
      </c>
      <c r="H26" s="22" t="s">
        <v>17</v>
      </c>
      <c r="I26" s="22">
        <v>1</v>
      </c>
      <c r="J26" s="25">
        <v>40000</v>
      </c>
      <c r="K26" s="22">
        <v>15</v>
      </c>
      <c r="L26" s="25">
        <v>34000</v>
      </c>
      <c r="M26" s="25">
        <v>4500</v>
      </c>
      <c r="N26" s="22" t="s">
        <v>38</v>
      </c>
    </row>
    <row r="27" spans="1:14" x14ac:dyDescent="0.3">
      <c r="A27" s="35" t="s">
        <v>70</v>
      </c>
      <c r="B27" s="26" t="s">
        <v>160</v>
      </c>
      <c r="C27" s="26" t="s">
        <v>41</v>
      </c>
      <c r="D27" s="26" t="s">
        <v>42</v>
      </c>
      <c r="E27" s="27">
        <v>45390</v>
      </c>
      <c r="F27" s="27">
        <v>45394</v>
      </c>
      <c r="G27" s="28" t="s">
        <v>286</v>
      </c>
      <c r="H27" s="26" t="s">
        <v>22</v>
      </c>
      <c r="I27" s="26">
        <v>2</v>
      </c>
      <c r="J27" s="29">
        <v>8000</v>
      </c>
      <c r="K27" s="26">
        <v>0</v>
      </c>
      <c r="L27" s="29">
        <v>16000</v>
      </c>
      <c r="M27" s="29">
        <v>2500</v>
      </c>
      <c r="N27" s="26" t="s">
        <v>18</v>
      </c>
    </row>
    <row r="28" spans="1:14" x14ac:dyDescent="0.3">
      <c r="A28" s="34" t="s">
        <v>71</v>
      </c>
      <c r="B28" s="22" t="s">
        <v>161</v>
      </c>
      <c r="C28" s="22" t="s">
        <v>45</v>
      </c>
      <c r="D28" s="22" t="s">
        <v>16</v>
      </c>
      <c r="E28" s="23">
        <v>45397</v>
      </c>
      <c r="F28" s="23">
        <v>45400</v>
      </c>
      <c r="G28" s="30" t="s">
        <v>287</v>
      </c>
      <c r="H28" s="22" t="s">
        <v>28</v>
      </c>
      <c r="I28" s="22">
        <v>1</v>
      </c>
      <c r="J28" s="25">
        <v>25000</v>
      </c>
      <c r="K28" s="22">
        <v>10</v>
      </c>
      <c r="L28" s="25">
        <v>22500</v>
      </c>
      <c r="M28" s="25">
        <v>4000</v>
      </c>
      <c r="N28" s="22" t="s">
        <v>23</v>
      </c>
    </row>
    <row r="29" spans="1:14" x14ac:dyDescent="0.3">
      <c r="A29" s="35" t="s">
        <v>72</v>
      </c>
      <c r="B29" s="26" t="s">
        <v>162</v>
      </c>
      <c r="C29" s="26" t="s">
        <v>48</v>
      </c>
      <c r="D29" s="26" t="s">
        <v>42</v>
      </c>
      <c r="E29" s="27">
        <v>45413</v>
      </c>
      <c r="F29" s="27">
        <v>45416</v>
      </c>
      <c r="G29" s="28" t="s">
        <v>291</v>
      </c>
      <c r="H29" s="26" t="s">
        <v>33</v>
      </c>
      <c r="I29" s="26">
        <v>1</v>
      </c>
      <c r="J29" s="29">
        <v>30000</v>
      </c>
      <c r="K29" s="26">
        <v>5</v>
      </c>
      <c r="L29" s="29">
        <v>28500</v>
      </c>
      <c r="M29" s="29">
        <v>3500</v>
      </c>
      <c r="N29" s="26" t="s">
        <v>29</v>
      </c>
    </row>
    <row r="30" spans="1:14" x14ac:dyDescent="0.3">
      <c r="A30" s="34" t="s">
        <v>73</v>
      </c>
      <c r="B30" s="22" t="s">
        <v>163</v>
      </c>
      <c r="C30" s="22" t="s">
        <v>51</v>
      </c>
      <c r="D30" s="22" t="s">
        <v>42</v>
      </c>
      <c r="E30" s="23">
        <v>45422</v>
      </c>
      <c r="F30" s="23">
        <v>45427</v>
      </c>
      <c r="G30" s="24" t="s">
        <v>290</v>
      </c>
      <c r="H30" s="22" t="s">
        <v>17</v>
      </c>
      <c r="I30" s="22">
        <v>1</v>
      </c>
      <c r="J30" s="25">
        <v>35000</v>
      </c>
      <c r="K30" s="22">
        <v>0</v>
      </c>
      <c r="L30" s="25">
        <v>35000</v>
      </c>
      <c r="M30" s="25">
        <v>5000</v>
      </c>
      <c r="N30" s="22" t="s">
        <v>18</v>
      </c>
    </row>
    <row r="31" spans="1:14" x14ac:dyDescent="0.3">
      <c r="A31" s="35" t="s">
        <v>74</v>
      </c>
      <c r="B31" s="26" t="s">
        <v>164</v>
      </c>
      <c r="C31" s="26" t="s">
        <v>54</v>
      </c>
      <c r="D31" s="26" t="s">
        <v>16</v>
      </c>
      <c r="E31" s="27">
        <v>45432</v>
      </c>
      <c r="F31" s="27">
        <v>45435</v>
      </c>
      <c r="G31" s="28" t="s">
        <v>271</v>
      </c>
      <c r="H31" s="26" t="s">
        <v>22</v>
      </c>
      <c r="I31" s="26">
        <v>4</v>
      </c>
      <c r="J31" s="29">
        <v>2000</v>
      </c>
      <c r="K31" s="26">
        <v>20</v>
      </c>
      <c r="L31" s="29">
        <v>6400</v>
      </c>
      <c r="M31" s="29">
        <v>1200</v>
      </c>
      <c r="N31" s="26" t="s">
        <v>34</v>
      </c>
    </row>
    <row r="32" spans="1:14" x14ac:dyDescent="0.3">
      <c r="A32" s="34" t="s">
        <v>75</v>
      </c>
      <c r="B32" s="22" t="s">
        <v>165</v>
      </c>
      <c r="C32" s="22" t="s">
        <v>15</v>
      </c>
      <c r="D32" s="22" t="s">
        <v>16</v>
      </c>
      <c r="E32" s="23">
        <v>45296</v>
      </c>
      <c r="F32" s="23">
        <v>45298</v>
      </c>
      <c r="G32" s="24" t="s">
        <v>272</v>
      </c>
      <c r="H32" s="22" t="s">
        <v>17</v>
      </c>
      <c r="I32" s="22">
        <v>2</v>
      </c>
      <c r="J32" s="25">
        <v>15000</v>
      </c>
      <c r="K32" s="22">
        <v>10</v>
      </c>
      <c r="L32" s="25">
        <v>27000</v>
      </c>
      <c r="M32" s="25">
        <v>3500</v>
      </c>
      <c r="N32" s="22" t="s">
        <v>18</v>
      </c>
    </row>
    <row r="33" spans="1:14" x14ac:dyDescent="0.3">
      <c r="A33" s="35" t="s">
        <v>76</v>
      </c>
      <c r="B33" s="26" t="s">
        <v>166</v>
      </c>
      <c r="C33" s="26" t="s">
        <v>21</v>
      </c>
      <c r="D33" s="26" t="s">
        <v>16</v>
      </c>
      <c r="E33" s="27">
        <v>45332</v>
      </c>
      <c r="F33" s="27">
        <v>45336</v>
      </c>
      <c r="G33" s="28" t="s">
        <v>273</v>
      </c>
      <c r="H33" s="26" t="s">
        <v>22</v>
      </c>
      <c r="I33" s="26">
        <v>1</v>
      </c>
      <c r="J33" s="29">
        <v>50000</v>
      </c>
      <c r="K33" s="26">
        <v>5</v>
      </c>
      <c r="L33" s="29">
        <v>47500</v>
      </c>
      <c r="M33" s="29">
        <v>6000</v>
      </c>
      <c r="N33" s="26" t="s">
        <v>23</v>
      </c>
    </row>
    <row r="34" spans="1:14" x14ac:dyDescent="0.3">
      <c r="A34" s="34" t="s">
        <v>77</v>
      </c>
      <c r="B34" s="22" t="s">
        <v>167</v>
      </c>
      <c r="C34" s="22" t="s">
        <v>26</v>
      </c>
      <c r="D34" s="22" t="s">
        <v>27</v>
      </c>
      <c r="E34" s="23">
        <v>45354</v>
      </c>
      <c r="F34" s="23">
        <v>45356</v>
      </c>
      <c r="G34" s="24" t="s">
        <v>274</v>
      </c>
      <c r="H34" s="22" t="s">
        <v>28</v>
      </c>
      <c r="I34" s="22">
        <v>3</v>
      </c>
      <c r="J34" s="25">
        <v>2000</v>
      </c>
      <c r="K34" s="22">
        <v>0</v>
      </c>
      <c r="L34" s="25">
        <v>6000</v>
      </c>
      <c r="M34" s="25">
        <v>800</v>
      </c>
      <c r="N34" s="22" t="s">
        <v>29</v>
      </c>
    </row>
    <row r="35" spans="1:14" x14ac:dyDescent="0.3">
      <c r="A35" s="35" t="s">
        <v>78</v>
      </c>
      <c r="B35" s="26" t="s">
        <v>168</v>
      </c>
      <c r="C35" s="26" t="s">
        <v>32</v>
      </c>
      <c r="D35" s="26" t="s">
        <v>27</v>
      </c>
      <c r="E35" s="27">
        <v>45371</v>
      </c>
      <c r="F35" s="27">
        <v>45373</v>
      </c>
      <c r="G35" s="28" t="s">
        <v>275</v>
      </c>
      <c r="H35" s="26" t="s">
        <v>33</v>
      </c>
      <c r="I35" s="26">
        <v>1</v>
      </c>
      <c r="J35" s="29">
        <v>2500</v>
      </c>
      <c r="K35" s="26">
        <v>20</v>
      </c>
      <c r="L35" s="29">
        <v>2000</v>
      </c>
      <c r="M35" s="29">
        <v>300</v>
      </c>
      <c r="N35" s="26" t="s">
        <v>34</v>
      </c>
    </row>
    <row r="36" spans="1:14" x14ac:dyDescent="0.3">
      <c r="A36" s="34" t="s">
        <v>79</v>
      </c>
      <c r="B36" s="22" t="s">
        <v>169</v>
      </c>
      <c r="C36" s="22" t="s">
        <v>37</v>
      </c>
      <c r="D36" s="22" t="s">
        <v>16</v>
      </c>
      <c r="E36" s="23">
        <v>45383</v>
      </c>
      <c r="F36" s="23">
        <v>45388</v>
      </c>
      <c r="G36" s="24" t="s">
        <v>276</v>
      </c>
      <c r="H36" s="22" t="s">
        <v>17</v>
      </c>
      <c r="I36" s="22">
        <v>1</v>
      </c>
      <c r="J36" s="25">
        <v>40000</v>
      </c>
      <c r="K36" s="22">
        <v>15</v>
      </c>
      <c r="L36" s="25">
        <v>34000</v>
      </c>
      <c r="M36" s="25">
        <v>4500</v>
      </c>
      <c r="N36" s="22" t="s">
        <v>38</v>
      </c>
    </row>
    <row r="37" spans="1:14" x14ac:dyDescent="0.3">
      <c r="A37" s="35" t="s">
        <v>80</v>
      </c>
      <c r="B37" s="26" t="s">
        <v>170</v>
      </c>
      <c r="C37" s="26" t="s">
        <v>41</v>
      </c>
      <c r="D37" s="26" t="s">
        <v>42</v>
      </c>
      <c r="E37" s="27">
        <v>45390</v>
      </c>
      <c r="F37" s="27">
        <v>45394</v>
      </c>
      <c r="G37" s="27" t="s">
        <v>277</v>
      </c>
      <c r="H37" s="26" t="s">
        <v>22</v>
      </c>
      <c r="I37" s="26">
        <v>2</v>
      </c>
      <c r="J37" s="29">
        <v>8000</v>
      </c>
      <c r="K37" s="26">
        <v>0</v>
      </c>
      <c r="L37" s="29">
        <v>16000</v>
      </c>
      <c r="M37" s="29">
        <v>2500</v>
      </c>
      <c r="N37" s="26" t="s">
        <v>18</v>
      </c>
    </row>
    <row r="38" spans="1:14" x14ac:dyDescent="0.3">
      <c r="A38" s="34" t="s">
        <v>81</v>
      </c>
      <c r="B38" s="22" t="s">
        <v>171</v>
      </c>
      <c r="C38" s="22" t="s">
        <v>45</v>
      </c>
      <c r="D38" s="22" t="s">
        <v>16</v>
      </c>
      <c r="E38" s="23">
        <v>45397</v>
      </c>
      <c r="F38" s="23">
        <v>45400</v>
      </c>
      <c r="G38" s="24" t="s">
        <v>273</v>
      </c>
      <c r="H38" s="22" t="s">
        <v>28</v>
      </c>
      <c r="I38" s="22">
        <v>1</v>
      </c>
      <c r="J38" s="25">
        <v>25000</v>
      </c>
      <c r="K38" s="22">
        <v>10</v>
      </c>
      <c r="L38" s="25">
        <v>22500</v>
      </c>
      <c r="M38" s="25">
        <v>4000</v>
      </c>
      <c r="N38" s="22" t="s">
        <v>23</v>
      </c>
    </row>
    <row r="39" spans="1:14" x14ac:dyDescent="0.3">
      <c r="A39" s="35" t="s">
        <v>82</v>
      </c>
      <c r="B39" s="26" t="s">
        <v>172</v>
      </c>
      <c r="C39" s="26" t="s">
        <v>48</v>
      </c>
      <c r="D39" s="26" t="s">
        <v>42</v>
      </c>
      <c r="E39" s="27">
        <v>45413</v>
      </c>
      <c r="F39" s="27">
        <v>45416</v>
      </c>
      <c r="G39" s="28" t="s">
        <v>279</v>
      </c>
      <c r="H39" s="26" t="s">
        <v>33</v>
      </c>
      <c r="I39" s="26">
        <v>1</v>
      </c>
      <c r="J39" s="29">
        <v>30000</v>
      </c>
      <c r="K39" s="26">
        <v>5</v>
      </c>
      <c r="L39" s="29">
        <v>28500</v>
      </c>
      <c r="M39" s="29">
        <v>3500</v>
      </c>
      <c r="N39" s="26" t="s">
        <v>29</v>
      </c>
    </row>
    <row r="40" spans="1:14" x14ac:dyDescent="0.3">
      <c r="A40" s="34" t="s">
        <v>83</v>
      </c>
      <c r="B40" s="22" t="s">
        <v>173</v>
      </c>
      <c r="C40" s="22" t="s">
        <v>41</v>
      </c>
      <c r="D40" s="22" t="s">
        <v>42</v>
      </c>
      <c r="E40" s="23">
        <v>45390</v>
      </c>
      <c r="F40" s="23">
        <v>45394</v>
      </c>
      <c r="G40" s="24" t="s">
        <v>280</v>
      </c>
      <c r="H40" s="22" t="s">
        <v>22</v>
      </c>
      <c r="I40" s="22">
        <v>2</v>
      </c>
      <c r="J40" s="25">
        <v>8000</v>
      </c>
      <c r="K40" s="22">
        <v>0</v>
      </c>
      <c r="L40" s="25">
        <v>16000</v>
      </c>
      <c r="M40" s="25">
        <v>2500</v>
      </c>
      <c r="N40" s="22" t="s">
        <v>18</v>
      </c>
    </row>
    <row r="41" spans="1:14" x14ac:dyDescent="0.3">
      <c r="A41" s="35" t="s">
        <v>84</v>
      </c>
      <c r="B41" s="26" t="s">
        <v>174</v>
      </c>
      <c r="C41" s="26" t="s">
        <v>45</v>
      </c>
      <c r="D41" s="26" t="s">
        <v>16</v>
      </c>
      <c r="E41" s="27">
        <v>45397</v>
      </c>
      <c r="F41" s="27">
        <v>45400</v>
      </c>
      <c r="G41" s="28" t="s">
        <v>281</v>
      </c>
      <c r="H41" s="26" t="s">
        <v>28</v>
      </c>
      <c r="I41" s="26">
        <v>1</v>
      </c>
      <c r="J41" s="29">
        <v>25000</v>
      </c>
      <c r="K41" s="26">
        <v>10</v>
      </c>
      <c r="L41" s="29">
        <v>22500</v>
      </c>
      <c r="M41" s="29">
        <v>4000</v>
      </c>
      <c r="N41" s="26" t="s">
        <v>23</v>
      </c>
    </row>
    <row r="42" spans="1:14" x14ac:dyDescent="0.3">
      <c r="A42" s="34" t="s">
        <v>85</v>
      </c>
      <c r="B42" s="22" t="s">
        <v>175</v>
      </c>
      <c r="C42" s="22" t="s">
        <v>48</v>
      </c>
      <c r="D42" s="22" t="s">
        <v>42</v>
      </c>
      <c r="E42" s="23">
        <v>45413</v>
      </c>
      <c r="F42" s="23">
        <v>45416</v>
      </c>
      <c r="G42" s="24" t="s">
        <v>261</v>
      </c>
      <c r="H42" s="22" t="s">
        <v>33</v>
      </c>
      <c r="I42" s="22">
        <v>1</v>
      </c>
      <c r="J42" s="25">
        <v>30000</v>
      </c>
      <c r="K42" s="22">
        <v>5</v>
      </c>
      <c r="L42" s="25">
        <v>28500</v>
      </c>
      <c r="M42" s="25">
        <v>3500</v>
      </c>
      <c r="N42" s="22" t="s">
        <v>29</v>
      </c>
    </row>
    <row r="43" spans="1:14" x14ac:dyDescent="0.3">
      <c r="A43" s="35" t="s">
        <v>86</v>
      </c>
      <c r="B43" s="26" t="s">
        <v>176</v>
      </c>
      <c r="C43" s="26" t="s">
        <v>51</v>
      </c>
      <c r="D43" s="26" t="s">
        <v>42</v>
      </c>
      <c r="E43" s="27">
        <v>45422</v>
      </c>
      <c r="F43" s="27">
        <v>45427</v>
      </c>
      <c r="G43" s="28" t="s">
        <v>262</v>
      </c>
      <c r="H43" s="26" t="s">
        <v>17</v>
      </c>
      <c r="I43" s="26">
        <v>1</v>
      </c>
      <c r="J43" s="29">
        <v>35000</v>
      </c>
      <c r="K43" s="26">
        <v>0</v>
      </c>
      <c r="L43" s="29">
        <v>35000</v>
      </c>
      <c r="M43" s="29">
        <v>5000</v>
      </c>
      <c r="N43" s="26" t="s">
        <v>18</v>
      </c>
    </row>
    <row r="44" spans="1:14" x14ac:dyDescent="0.3">
      <c r="A44" s="34" t="s">
        <v>87</v>
      </c>
      <c r="B44" s="22" t="s">
        <v>177</v>
      </c>
      <c r="C44" s="22" t="s">
        <v>54</v>
      </c>
      <c r="D44" s="22" t="s">
        <v>16</v>
      </c>
      <c r="E44" s="23">
        <v>45432</v>
      </c>
      <c r="F44" s="23">
        <v>45435</v>
      </c>
      <c r="G44" s="24" t="s">
        <v>263</v>
      </c>
      <c r="H44" s="22" t="s">
        <v>22</v>
      </c>
      <c r="I44" s="22">
        <v>4</v>
      </c>
      <c r="J44" s="25">
        <v>2000</v>
      </c>
      <c r="K44" s="22">
        <v>20</v>
      </c>
      <c r="L44" s="25">
        <v>6400</v>
      </c>
      <c r="M44" s="25">
        <v>1200</v>
      </c>
      <c r="N44" s="22" t="s">
        <v>34</v>
      </c>
    </row>
    <row r="45" spans="1:14" x14ac:dyDescent="0.3">
      <c r="A45" s="35" t="s">
        <v>88</v>
      </c>
      <c r="B45" s="26" t="s">
        <v>178</v>
      </c>
      <c r="C45" s="26" t="s">
        <v>15</v>
      </c>
      <c r="D45" s="26" t="s">
        <v>16</v>
      </c>
      <c r="E45" s="27">
        <v>45296</v>
      </c>
      <c r="F45" s="27">
        <v>45298</v>
      </c>
      <c r="G45" s="28" t="s">
        <v>291</v>
      </c>
      <c r="H45" s="26" t="s">
        <v>17</v>
      </c>
      <c r="I45" s="26">
        <v>2</v>
      </c>
      <c r="J45" s="29">
        <v>15000</v>
      </c>
      <c r="K45" s="26">
        <v>10</v>
      </c>
      <c r="L45" s="29">
        <v>27000</v>
      </c>
      <c r="M45" s="29">
        <v>3500</v>
      </c>
      <c r="N45" s="26" t="s">
        <v>18</v>
      </c>
    </row>
    <row r="46" spans="1:14" x14ac:dyDescent="0.3">
      <c r="A46" s="34" t="s">
        <v>89</v>
      </c>
      <c r="B46" s="22" t="s">
        <v>179</v>
      </c>
      <c r="C46" s="22" t="s">
        <v>21</v>
      </c>
      <c r="D46" s="22" t="s">
        <v>16</v>
      </c>
      <c r="E46" s="23">
        <v>45332</v>
      </c>
      <c r="F46" s="23">
        <v>45336</v>
      </c>
      <c r="G46" s="24" t="s">
        <v>268</v>
      </c>
      <c r="H46" s="22" t="s">
        <v>22</v>
      </c>
      <c r="I46" s="22">
        <v>1</v>
      </c>
      <c r="J46" s="25">
        <v>50000</v>
      </c>
      <c r="K46" s="22">
        <v>5</v>
      </c>
      <c r="L46" s="25">
        <v>47500</v>
      </c>
      <c r="M46" s="25">
        <v>6000</v>
      </c>
      <c r="N46" s="22" t="s">
        <v>23</v>
      </c>
    </row>
    <row r="47" spans="1:14" x14ac:dyDescent="0.3">
      <c r="A47" s="35" t="s">
        <v>90</v>
      </c>
      <c r="B47" s="26" t="s">
        <v>180</v>
      </c>
      <c r="C47" s="26" t="s">
        <v>26</v>
      </c>
      <c r="D47" s="26" t="s">
        <v>27</v>
      </c>
      <c r="E47" s="27">
        <v>45354</v>
      </c>
      <c r="F47" s="27">
        <v>45356</v>
      </c>
      <c r="G47" s="28" t="s">
        <v>266</v>
      </c>
      <c r="H47" s="26" t="s">
        <v>28</v>
      </c>
      <c r="I47" s="26">
        <v>3</v>
      </c>
      <c r="J47" s="29">
        <v>2000</v>
      </c>
      <c r="K47" s="26">
        <v>0</v>
      </c>
      <c r="L47" s="29">
        <v>6000</v>
      </c>
      <c r="M47" s="29">
        <v>800</v>
      </c>
      <c r="N47" s="26" t="s">
        <v>29</v>
      </c>
    </row>
    <row r="48" spans="1:14" x14ac:dyDescent="0.3">
      <c r="A48" s="34" t="s">
        <v>91</v>
      </c>
      <c r="B48" s="22" t="s">
        <v>181</v>
      </c>
      <c r="C48" s="22" t="s">
        <v>32</v>
      </c>
      <c r="D48" s="22" t="s">
        <v>27</v>
      </c>
      <c r="E48" s="23">
        <v>45371</v>
      </c>
      <c r="F48" s="23">
        <v>45373</v>
      </c>
      <c r="G48" s="24" t="s">
        <v>267</v>
      </c>
      <c r="H48" s="22" t="s">
        <v>33</v>
      </c>
      <c r="I48" s="22">
        <v>1</v>
      </c>
      <c r="J48" s="25">
        <v>2500</v>
      </c>
      <c r="K48" s="22">
        <v>20</v>
      </c>
      <c r="L48" s="25">
        <v>2000</v>
      </c>
      <c r="M48" s="25">
        <v>300</v>
      </c>
      <c r="N48" s="22" t="s">
        <v>34</v>
      </c>
    </row>
    <row r="49" spans="1:14" x14ac:dyDescent="0.3">
      <c r="A49" s="35" t="s">
        <v>92</v>
      </c>
      <c r="B49" s="26" t="s">
        <v>182</v>
      </c>
      <c r="C49" s="26" t="s">
        <v>37</v>
      </c>
      <c r="D49" s="26" t="s">
        <v>16</v>
      </c>
      <c r="E49" s="27">
        <v>45383</v>
      </c>
      <c r="F49" s="27">
        <v>45388</v>
      </c>
      <c r="G49" s="28" t="s">
        <v>268</v>
      </c>
      <c r="H49" s="26" t="s">
        <v>17</v>
      </c>
      <c r="I49" s="26">
        <v>1</v>
      </c>
      <c r="J49" s="29">
        <v>40000</v>
      </c>
      <c r="K49" s="26">
        <v>15</v>
      </c>
      <c r="L49" s="29">
        <v>34000</v>
      </c>
      <c r="M49" s="29">
        <v>4500</v>
      </c>
      <c r="N49" s="26" t="s">
        <v>38</v>
      </c>
    </row>
    <row r="50" spans="1:14" x14ac:dyDescent="0.3">
      <c r="A50" s="34" t="s">
        <v>93</v>
      </c>
      <c r="B50" s="22" t="s">
        <v>183</v>
      </c>
      <c r="C50" s="22" t="s">
        <v>41</v>
      </c>
      <c r="D50" s="22" t="s">
        <v>42</v>
      </c>
      <c r="E50" s="23">
        <v>45390</v>
      </c>
      <c r="F50" s="23">
        <v>45394</v>
      </c>
      <c r="G50" s="24" t="s">
        <v>269</v>
      </c>
      <c r="H50" s="22" t="s">
        <v>22</v>
      </c>
      <c r="I50" s="22">
        <v>2</v>
      </c>
      <c r="J50" s="25">
        <v>8000</v>
      </c>
      <c r="K50" s="22">
        <v>0</v>
      </c>
      <c r="L50" s="25">
        <v>16000</v>
      </c>
      <c r="M50" s="25">
        <v>2500</v>
      </c>
      <c r="N50" s="22" t="s">
        <v>18</v>
      </c>
    </row>
    <row r="51" spans="1:14" x14ac:dyDescent="0.3">
      <c r="A51" s="35" t="s">
        <v>94</v>
      </c>
      <c r="B51" s="26" t="s">
        <v>184</v>
      </c>
      <c r="C51" s="26" t="s">
        <v>45</v>
      </c>
      <c r="D51" s="26" t="s">
        <v>16</v>
      </c>
      <c r="E51" s="27">
        <v>45397</v>
      </c>
      <c r="F51" s="27">
        <v>45400</v>
      </c>
      <c r="G51" s="28" t="s">
        <v>270</v>
      </c>
      <c r="H51" s="26" t="s">
        <v>28</v>
      </c>
      <c r="I51" s="26">
        <v>1</v>
      </c>
      <c r="J51" s="29">
        <v>25000</v>
      </c>
      <c r="K51" s="26">
        <v>10</v>
      </c>
      <c r="L51" s="29">
        <v>22500</v>
      </c>
      <c r="M51" s="29">
        <v>4000</v>
      </c>
      <c r="N51" s="26" t="s">
        <v>23</v>
      </c>
    </row>
    <row r="52" spans="1:14" x14ac:dyDescent="0.3">
      <c r="A52" s="34" t="s">
        <v>95</v>
      </c>
      <c r="B52" s="22" t="s">
        <v>185</v>
      </c>
      <c r="C52" s="22" t="s">
        <v>48</v>
      </c>
      <c r="D52" s="22" t="s">
        <v>42</v>
      </c>
      <c r="E52" s="23">
        <v>45413</v>
      </c>
      <c r="F52" s="23">
        <v>45416</v>
      </c>
      <c r="G52" s="24" t="s">
        <v>271</v>
      </c>
      <c r="H52" s="22" t="s">
        <v>33</v>
      </c>
      <c r="I52" s="22">
        <v>1</v>
      </c>
      <c r="J52" s="25">
        <v>30000</v>
      </c>
      <c r="K52" s="22">
        <v>5</v>
      </c>
      <c r="L52" s="25">
        <v>28500</v>
      </c>
      <c r="M52" s="25">
        <v>3500</v>
      </c>
      <c r="N52" s="22" t="s">
        <v>29</v>
      </c>
    </row>
    <row r="53" spans="1:14" x14ac:dyDescent="0.3">
      <c r="A53" s="35" t="s">
        <v>96</v>
      </c>
      <c r="B53" s="26" t="s">
        <v>186</v>
      </c>
      <c r="C53" s="26" t="s">
        <v>51</v>
      </c>
      <c r="D53" s="26" t="s">
        <v>42</v>
      </c>
      <c r="E53" s="27">
        <v>45422</v>
      </c>
      <c r="F53" s="27">
        <v>45427</v>
      </c>
      <c r="G53" s="28" t="s">
        <v>272</v>
      </c>
      <c r="H53" s="26" t="s">
        <v>17</v>
      </c>
      <c r="I53" s="26">
        <v>1</v>
      </c>
      <c r="J53" s="29">
        <v>35000</v>
      </c>
      <c r="K53" s="26">
        <v>0</v>
      </c>
      <c r="L53" s="29">
        <v>35000</v>
      </c>
      <c r="M53" s="29">
        <v>5000</v>
      </c>
      <c r="N53" s="26" t="s">
        <v>18</v>
      </c>
    </row>
    <row r="54" spans="1:14" x14ac:dyDescent="0.3">
      <c r="A54" s="34" t="s">
        <v>97</v>
      </c>
      <c r="B54" s="22" t="s">
        <v>187</v>
      </c>
      <c r="C54" s="22" t="s">
        <v>54</v>
      </c>
      <c r="D54" s="22" t="s">
        <v>16</v>
      </c>
      <c r="E54" s="23">
        <v>45432</v>
      </c>
      <c r="F54" s="23">
        <v>45435</v>
      </c>
      <c r="G54" s="24" t="s">
        <v>273</v>
      </c>
      <c r="H54" s="22" t="s">
        <v>22</v>
      </c>
      <c r="I54" s="22">
        <v>4</v>
      </c>
      <c r="J54" s="25">
        <v>2000</v>
      </c>
      <c r="K54" s="22">
        <v>20</v>
      </c>
      <c r="L54" s="25">
        <v>6400</v>
      </c>
      <c r="M54" s="25">
        <v>1200</v>
      </c>
      <c r="N54" s="22" t="s">
        <v>34</v>
      </c>
    </row>
    <row r="55" spans="1:14" x14ac:dyDescent="0.3">
      <c r="A55" s="35" t="s">
        <v>98</v>
      </c>
      <c r="B55" s="26" t="s">
        <v>188</v>
      </c>
      <c r="C55" s="26" t="s">
        <v>15</v>
      </c>
      <c r="D55" s="26" t="s">
        <v>16</v>
      </c>
      <c r="E55" s="27">
        <v>45296</v>
      </c>
      <c r="F55" s="27">
        <v>45298</v>
      </c>
      <c r="G55" s="28" t="s">
        <v>274</v>
      </c>
      <c r="H55" s="26" t="s">
        <v>17</v>
      </c>
      <c r="I55" s="26">
        <v>2</v>
      </c>
      <c r="J55" s="29">
        <v>15000</v>
      </c>
      <c r="K55" s="26">
        <v>10</v>
      </c>
      <c r="L55" s="29">
        <v>27000</v>
      </c>
      <c r="M55" s="29">
        <v>3500</v>
      </c>
      <c r="N55" s="26" t="s">
        <v>18</v>
      </c>
    </row>
    <row r="56" spans="1:14" x14ac:dyDescent="0.3">
      <c r="A56" s="34" t="s">
        <v>99</v>
      </c>
      <c r="B56" s="22" t="s">
        <v>189</v>
      </c>
      <c r="C56" s="22" t="s">
        <v>21</v>
      </c>
      <c r="D56" s="22" t="s">
        <v>16</v>
      </c>
      <c r="E56" s="23">
        <v>45332</v>
      </c>
      <c r="F56" s="23">
        <v>45336</v>
      </c>
      <c r="G56" s="24" t="s">
        <v>275</v>
      </c>
      <c r="H56" s="22" t="s">
        <v>22</v>
      </c>
      <c r="I56" s="22">
        <v>1</v>
      </c>
      <c r="J56" s="25">
        <v>50000</v>
      </c>
      <c r="K56" s="22">
        <v>5</v>
      </c>
      <c r="L56" s="25">
        <v>47500</v>
      </c>
      <c r="M56" s="25">
        <v>6000</v>
      </c>
      <c r="N56" s="22" t="s">
        <v>23</v>
      </c>
    </row>
    <row r="57" spans="1:14" x14ac:dyDescent="0.3">
      <c r="A57" s="35" t="s">
        <v>100</v>
      </c>
      <c r="B57" s="26" t="s">
        <v>190</v>
      </c>
      <c r="C57" s="26" t="s">
        <v>26</v>
      </c>
      <c r="D57" s="26" t="s">
        <v>27</v>
      </c>
      <c r="E57" s="27">
        <v>45354</v>
      </c>
      <c r="F57" s="27">
        <v>45356</v>
      </c>
      <c r="G57" s="28" t="s">
        <v>276</v>
      </c>
      <c r="H57" s="26" t="s">
        <v>28</v>
      </c>
      <c r="I57" s="26">
        <v>3</v>
      </c>
      <c r="J57" s="29">
        <v>2000</v>
      </c>
      <c r="K57" s="26">
        <v>0</v>
      </c>
      <c r="L57" s="29">
        <v>6000</v>
      </c>
      <c r="M57" s="29">
        <v>800</v>
      </c>
      <c r="N57" s="26" t="s">
        <v>29</v>
      </c>
    </row>
    <row r="58" spans="1:14" x14ac:dyDescent="0.3">
      <c r="A58" s="34" t="s">
        <v>101</v>
      </c>
      <c r="B58" s="22" t="s">
        <v>191</v>
      </c>
      <c r="C58" s="22" t="s">
        <v>32</v>
      </c>
      <c r="D58" s="22" t="s">
        <v>27</v>
      </c>
      <c r="E58" s="23">
        <v>45371</v>
      </c>
      <c r="F58" s="23">
        <v>45373</v>
      </c>
      <c r="G58" s="23" t="s">
        <v>277</v>
      </c>
      <c r="H58" s="22" t="s">
        <v>33</v>
      </c>
      <c r="I58" s="22">
        <v>1</v>
      </c>
      <c r="J58" s="25">
        <v>2500</v>
      </c>
      <c r="K58" s="22">
        <v>20</v>
      </c>
      <c r="L58" s="25">
        <v>2000</v>
      </c>
      <c r="M58" s="25">
        <v>300</v>
      </c>
      <c r="N58" s="22" t="s">
        <v>34</v>
      </c>
    </row>
    <row r="59" spans="1:14" x14ac:dyDescent="0.3">
      <c r="A59" s="35" t="s">
        <v>102</v>
      </c>
      <c r="B59" s="26" t="s">
        <v>192</v>
      </c>
      <c r="C59" s="26" t="s">
        <v>37</v>
      </c>
      <c r="D59" s="26" t="s">
        <v>16</v>
      </c>
      <c r="E59" s="27">
        <v>45383</v>
      </c>
      <c r="F59" s="27">
        <v>45388</v>
      </c>
      <c r="G59" s="28" t="s">
        <v>278</v>
      </c>
      <c r="H59" s="26" t="s">
        <v>17</v>
      </c>
      <c r="I59" s="26">
        <v>1</v>
      </c>
      <c r="J59" s="29">
        <v>40000</v>
      </c>
      <c r="K59" s="26">
        <v>15</v>
      </c>
      <c r="L59" s="29">
        <v>34000</v>
      </c>
      <c r="M59" s="29">
        <v>4500</v>
      </c>
      <c r="N59" s="26" t="s">
        <v>38</v>
      </c>
    </row>
    <row r="60" spans="1:14" x14ac:dyDescent="0.3">
      <c r="A60" s="34" t="s">
        <v>103</v>
      </c>
      <c r="B60" s="22" t="s">
        <v>193</v>
      </c>
      <c r="C60" s="22" t="s">
        <v>15</v>
      </c>
      <c r="D60" s="22" t="s">
        <v>16</v>
      </c>
      <c r="E60" s="23">
        <v>45296</v>
      </c>
      <c r="F60" s="23">
        <v>45298</v>
      </c>
      <c r="G60" s="24" t="s">
        <v>279</v>
      </c>
      <c r="H60" s="22" t="s">
        <v>17</v>
      </c>
      <c r="I60" s="22">
        <v>2</v>
      </c>
      <c r="J60" s="25">
        <v>15000</v>
      </c>
      <c r="K60" s="22">
        <v>10</v>
      </c>
      <c r="L60" s="25">
        <v>27000</v>
      </c>
      <c r="M60" s="25">
        <v>3500</v>
      </c>
      <c r="N60" s="22" t="s">
        <v>18</v>
      </c>
    </row>
    <row r="61" spans="1:14" x14ac:dyDescent="0.3">
      <c r="A61" s="35" t="s">
        <v>104</v>
      </c>
      <c r="B61" s="26" t="s">
        <v>194</v>
      </c>
      <c r="C61" s="26" t="s">
        <v>21</v>
      </c>
      <c r="D61" s="26" t="s">
        <v>16</v>
      </c>
      <c r="E61" s="27">
        <v>45332</v>
      </c>
      <c r="F61" s="27">
        <v>45336</v>
      </c>
      <c r="G61" s="28" t="s">
        <v>280</v>
      </c>
      <c r="H61" s="26" t="s">
        <v>22</v>
      </c>
      <c r="I61" s="26">
        <v>1</v>
      </c>
      <c r="J61" s="29">
        <v>50000</v>
      </c>
      <c r="K61" s="26">
        <v>5</v>
      </c>
      <c r="L61" s="29">
        <v>47500</v>
      </c>
      <c r="M61" s="29">
        <v>6000</v>
      </c>
      <c r="N61" s="26" t="s">
        <v>23</v>
      </c>
    </row>
    <row r="62" spans="1:14" x14ac:dyDescent="0.3">
      <c r="A62" s="34" t="s">
        <v>105</v>
      </c>
      <c r="B62" s="22" t="s">
        <v>195</v>
      </c>
      <c r="C62" s="22" t="s">
        <v>26</v>
      </c>
      <c r="D62" s="22" t="s">
        <v>27</v>
      </c>
      <c r="E62" s="23">
        <v>45354</v>
      </c>
      <c r="F62" s="23">
        <v>45356</v>
      </c>
      <c r="G62" s="24" t="s">
        <v>291</v>
      </c>
      <c r="H62" s="22" t="s">
        <v>28</v>
      </c>
      <c r="I62" s="22">
        <v>3</v>
      </c>
      <c r="J62" s="25">
        <v>2000</v>
      </c>
      <c r="K62" s="22">
        <v>0</v>
      </c>
      <c r="L62" s="25">
        <v>6000</v>
      </c>
      <c r="M62" s="25">
        <v>800</v>
      </c>
      <c r="N62" s="22" t="s">
        <v>29</v>
      </c>
    </row>
    <row r="63" spans="1:14" x14ac:dyDescent="0.3">
      <c r="A63" s="35" t="s">
        <v>106</v>
      </c>
      <c r="B63" s="26" t="s">
        <v>196</v>
      </c>
      <c r="C63" s="26" t="s">
        <v>32</v>
      </c>
      <c r="D63" s="26" t="s">
        <v>27</v>
      </c>
      <c r="E63" s="27">
        <v>45371</v>
      </c>
      <c r="F63" s="27">
        <v>45373</v>
      </c>
      <c r="G63" s="28" t="s">
        <v>282</v>
      </c>
      <c r="H63" s="26" t="s">
        <v>33</v>
      </c>
      <c r="I63" s="26">
        <v>1</v>
      </c>
      <c r="J63" s="29">
        <v>2500</v>
      </c>
      <c r="K63" s="26">
        <v>20</v>
      </c>
      <c r="L63" s="29">
        <v>2000</v>
      </c>
      <c r="M63" s="29">
        <v>300</v>
      </c>
      <c r="N63" s="26" t="s">
        <v>34</v>
      </c>
    </row>
    <row r="64" spans="1:14" x14ac:dyDescent="0.3">
      <c r="A64" s="34" t="s">
        <v>107</v>
      </c>
      <c r="B64" s="22" t="s">
        <v>197</v>
      </c>
      <c r="C64" s="22" t="s">
        <v>37</v>
      </c>
      <c r="D64" s="22" t="s">
        <v>16</v>
      </c>
      <c r="E64" s="23">
        <v>45383</v>
      </c>
      <c r="F64" s="23">
        <v>45388</v>
      </c>
      <c r="G64" s="24" t="s">
        <v>261</v>
      </c>
      <c r="H64" s="22" t="s">
        <v>17</v>
      </c>
      <c r="I64" s="22">
        <v>1</v>
      </c>
      <c r="J64" s="25">
        <v>40000</v>
      </c>
      <c r="K64" s="22">
        <v>15</v>
      </c>
      <c r="L64" s="25">
        <v>34000</v>
      </c>
      <c r="M64" s="25">
        <v>4500</v>
      </c>
      <c r="N64" s="22" t="s">
        <v>38</v>
      </c>
    </row>
    <row r="65" spans="1:14" x14ac:dyDescent="0.3">
      <c r="A65" s="35" t="s">
        <v>108</v>
      </c>
      <c r="B65" s="26" t="s">
        <v>198</v>
      </c>
      <c r="C65" s="26" t="s">
        <v>41</v>
      </c>
      <c r="D65" s="26" t="s">
        <v>42</v>
      </c>
      <c r="E65" s="27">
        <v>45390</v>
      </c>
      <c r="F65" s="27">
        <v>45394</v>
      </c>
      <c r="G65" s="28" t="s">
        <v>262</v>
      </c>
      <c r="H65" s="26" t="s">
        <v>22</v>
      </c>
      <c r="I65" s="26">
        <v>2</v>
      </c>
      <c r="J65" s="29">
        <v>8000</v>
      </c>
      <c r="K65" s="26">
        <v>0</v>
      </c>
      <c r="L65" s="29">
        <v>16000</v>
      </c>
      <c r="M65" s="29">
        <v>2500</v>
      </c>
      <c r="N65" s="26" t="s">
        <v>18</v>
      </c>
    </row>
    <row r="66" spans="1:14" x14ac:dyDescent="0.3">
      <c r="A66" s="34" t="s">
        <v>109</v>
      </c>
      <c r="B66" s="22" t="s">
        <v>199</v>
      </c>
      <c r="C66" s="22" t="s">
        <v>45</v>
      </c>
      <c r="D66" s="22" t="s">
        <v>16</v>
      </c>
      <c r="E66" s="23">
        <v>45397</v>
      </c>
      <c r="F66" s="23">
        <v>45400</v>
      </c>
      <c r="G66" s="24" t="s">
        <v>263</v>
      </c>
      <c r="H66" s="22" t="s">
        <v>28</v>
      </c>
      <c r="I66" s="22">
        <v>1</v>
      </c>
      <c r="J66" s="25">
        <v>25000</v>
      </c>
      <c r="K66" s="22">
        <v>10</v>
      </c>
      <c r="L66" s="25">
        <v>22500</v>
      </c>
      <c r="M66" s="25">
        <v>4000</v>
      </c>
      <c r="N66" s="22" t="s">
        <v>23</v>
      </c>
    </row>
    <row r="67" spans="1:14" x14ac:dyDescent="0.3">
      <c r="A67" s="35" t="s">
        <v>110</v>
      </c>
      <c r="B67" s="26" t="s">
        <v>200</v>
      </c>
      <c r="C67" s="26" t="s">
        <v>48</v>
      </c>
      <c r="D67" s="26" t="s">
        <v>42</v>
      </c>
      <c r="E67" s="27">
        <v>45413</v>
      </c>
      <c r="F67" s="27">
        <v>45416</v>
      </c>
      <c r="G67" s="28" t="s">
        <v>264</v>
      </c>
      <c r="H67" s="26" t="s">
        <v>33</v>
      </c>
      <c r="I67" s="26">
        <v>1</v>
      </c>
      <c r="J67" s="29">
        <v>30000</v>
      </c>
      <c r="K67" s="26">
        <v>5</v>
      </c>
      <c r="L67" s="29">
        <v>28500</v>
      </c>
      <c r="M67" s="29">
        <v>3500</v>
      </c>
      <c r="N67" s="26" t="s">
        <v>29</v>
      </c>
    </row>
    <row r="68" spans="1:14" x14ac:dyDescent="0.3">
      <c r="A68" s="34" t="s">
        <v>111</v>
      </c>
      <c r="B68" s="22" t="s">
        <v>201</v>
      </c>
      <c r="C68" s="22" t="s">
        <v>51</v>
      </c>
      <c r="D68" s="22" t="s">
        <v>42</v>
      </c>
      <c r="E68" s="23">
        <v>45422</v>
      </c>
      <c r="F68" s="23">
        <v>45427</v>
      </c>
      <c r="G68" s="24" t="s">
        <v>265</v>
      </c>
      <c r="H68" s="22" t="s">
        <v>17</v>
      </c>
      <c r="I68" s="22">
        <v>1</v>
      </c>
      <c r="J68" s="25">
        <v>35000</v>
      </c>
      <c r="K68" s="22">
        <v>0</v>
      </c>
      <c r="L68" s="25">
        <v>35000</v>
      </c>
      <c r="M68" s="25">
        <v>5000</v>
      </c>
      <c r="N68" s="22" t="s">
        <v>18</v>
      </c>
    </row>
    <row r="69" spans="1:14" x14ac:dyDescent="0.3">
      <c r="A69" s="35" t="s">
        <v>112</v>
      </c>
      <c r="B69" s="26" t="s">
        <v>202</v>
      </c>
      <c r="C69" s="26" t="s">
        <v>15</v>
      </c>
      <c r="D69" s="26" t="s">
        <v>16</v>
      </c>
      <c r="E69" s="27">
        <v>45296</v>
      </c>
      <c r="F69" s="27">
        <v>45298</v>
      </c>
      <c r="G69" s="28" t="s">
        <v>266</v>
      </c>
      <c r="H69" s="26" t="s">
        <v>17</v>
      </c>
      <c r="I69" s="26">
        <v>2</v>
      </c>
      <c r="J69" s="29">
        <v>15000</v>
      </c>
      <c r="K69" s="26">
        <v>10</v>
      </c>
      <c r="L69" s="29">
        <v>27000</v>
      </c>
      <c r="M69" s="29">
        <v>3500</v>
      </c>
      <c r="N69" s="26" t="s">
        <v>18</v>
      </c>
    </row>
    <row r="70" spans="1:14" x14ac:dyDescent="0.3">
      <c r="A70" s="34" t="s">
        <v>113</v>
      </c>
      <c r="B70" s="22" t="s">
        <v>203</v>
      </c>
      <c r="C70" s="22" t="s">
        <v>21</v>
      </c>
      <c r="D70" s="22" t="s">
        <v>16</v>
      </c>
      <c r="E70" s="23">
        <v>45332</v>
      </c>
      <c r="F70" s="23">
        <v>45336</v>
      </c>
      <c r="G70" s="24" t="s">
        <v>265</v>
      </c>
      <c r="H70" s="22" t="s">
        <v>22</v>
      </c>
      <c r="I70" s="22">
        <v>1</v>
      </c>
      <c r="J70" s="25">
        <v>50000</v>
      </c>
      <c r="K70" s="22">
        <v>5</v>
      </c>
      <c r="L70" s="25">
        <v>47500</v>
      </c>
      <c r="M70" s="25">
        <v>6000</v>
      </c>
      <c r="N70" s="22" t="s">
        <v>23</v>
      </c>
    </row>
    <row r="71" spans="1:14" x14ac:dyDescent="0.3">
      <c r="A71" s="35" t="s">
        <v>114</v>
      </c>
      <c r="B71" s="26" t="s">
        <v>204</v>
      </c>
      <c r="C71" s="26" t="s">
        <v>26</v>
      </c>
      <c r="D71" s="26" t="s">
        <v>27</v>
      </c>
      <c r="E71" s="27">
        <v>45354</v>
      </c>
      <c r="F71" s="27">
        <v>45356</v>
      </c>
      <c r="G71" s="28" t="s">
        <v>268</v>
      </c>
      <c r="H71" s="26" t="s">
        <v>28</v>
      </c>
      <c r="I71" s="26">
        <v>3</v>
      </c>
      <c r="J71" s="29">
        <v>2000</v>
      </c>
      <c r="K71" s="26">
        <v>0</v>
      </c>
      <c r="L71" s="29">
        <v>6000</v>
      </c>
      <c r="M71" s="29">
        <v>800</v>
      </c>
      <c r="N71" s="26" t="s">
        <v>29</v>
      </c>
    </row>
    <row r="72" spans="1:14" x14ac:dyDescent="0.3">
      <c r="A72" s="34" t="s">
        <v>115</v>
      </c>
      <c r="B72" s="22" t="s">
        <v>205</v>
      </c>
      <c r="C72" s="22" t="s">
        <v>32</v>
      </c>
      <c r="D72" s="22" t="s">
        <v>27</v>
      </c>
      <c r="E72" s="23">
        <v>45371</v>
      </c>
      <c r="F72" s="23">
        <v>45373</v>
      </c>
      <c r="G72" s="24" t="s">
        <v>269</v>
      </c>
      <c r="H72" s="22" t="s">
        <v>33</v>
      </c>
      <c r="I72" s="22">
        <v>1</v>
      </c>
      <c r="J72" s="25">
        <v>2500</v>
      </c>
      <c r="K72" s="22">
        <v>20</v>
      </c>
      <c r="L72" s="25">
        <v>2000</v>
      </c>
      <c r="M72" s="25">
        <v>300</v>
      </c>
      <c r="N72" s="22" t="s">
        <v>34</v>
      </c>
    </row>
    <row r="73" spans="1:14" x14ac:dyDescent="0.3">
      <c r="A73" s="35" t="s">
        <v>116</v>
      </c>
      <c r="B73" s="26" t="s">
        <v>206</v>
      </c>
      <c r="C73" s="26" t="s">
        <v>37</v>
      </c>
      <c r="D73" s="26" t="s">
        <v>16</v>
      </c>
      <c r="E73" s="27">
        <v>45383</v>
      </c>
      <c r="F73" s="27">
        <v>45388</v>
      </c>
      <c r="G73" s="28" t="s">
        <v>270</v>
      </c>
      <c r="H73" s="26" t="s">
        <v>17</v>
      </c>
      <c r="I73" s="26">
        <v>1</v>
      </c>
      <c r="J73" s="29">
        <v>40000</v>
      </c>
      <c r="K73" s="26">
        <v>15</v>
      </c>
      <c r="L73" s="29">
        <v>34000</v>
      </c>
      <c r="M73" s="29">
        <v>4500</v>
      </c>
      <c r="N73" s="26" t="s">
        <v>38</v>
      </c>
    </row>
    <row r="74" spans="1:14" x14ac:dyDescent="0.3">
      <c r="A74" s="34" t="s">
        <v>117</v>
      </c>
      <c r="B74" s="22" t="s">
        <v>207</v>
      </c>
      <c r="C74" s="22" t="s">
        <v>15</v>
      </c>
      <c r="D74" s="22" t="s">
        <v>16</v>
      </c>
      <c r="E74" s="23">
        <v>45296</v>
      </c>
      <c r="F74" s="23">
        <v>45298</v>
      </c>
      <c r="G74" s="24" t="s">
        <v>271</v>
      </c>
      <c r="H74" s="22" t="s">
        <v>17</v>
      </c>
      <c r="I74" s="22">
        <v>2</v>
      </c>
      <c r="J74" s="25">
        <v>15000</v>
      </c>
      <c r="K74" s="22">
        <v>10</v>
      </c>
      <c r="L74" s="25">
        <v>27000</v>
      </c>
      <c r="M74" s="25">
        <v>3500</v>
      </c>
      <c r="N74" s="22" t="s">
        <v>18</v>
      </c>
    </row>
    <row r="75" spans="1:14" x14ac:dyDescent="0.3">
      <c r="A75" s="35" t="s">
        <v>118</v>
      </c>
      <c r="B75" s="26" t="s">
        <v>208</v>
      </c>
      <c r="C75" s="26" t="s">
        <v>21</v>
      </c>
      <c r="D75" s="26" t="s">
        <v>16</v>
      </c>
      <c r="E75" s="27">
        <v>45332</v>
      </c>
      <c r="F75" s="27">
        <v>45336</v>
      </c>
      <c r="G75" s="28" t="s">
        <v>270</v>
      </c>
      <c r="H75" s="26" t="s">
        <v>22</v>
      </c>
      <c r="I75" s="26">
        <v>1</v>
      </c>
      <c r="J75" s="29">
        <v>50000</v>
      </c>
      <c r="K75" s="26">
        <v>5</v>
      </c>
      <c r="L75" s="29">
        <v>47500</v>
      </c>
      <c r="M75" s="29">
        <v>6000</v>
      </c>
      <c r="N75" s="26" t="s">
        <v>23</v>
      </c>
    </row>
    <row r="76" spans="1:14" x14ac:dyDescent="0.3">
      <c r="A76" s="34" t="s">
        <v>119</v>
      </c>
      <c r="B76" s="22" t="s">
        <v>209</v>
      </c>
      <c r="C76" s="22" t="s">
        <v>26</v>
      </c>
      <c r="D76" s="22" t="s">
        <v>27</v>
      </c>
      <c r="E76" s="23">
        <v>45354</v>
      </c>
      <c r="F76" s="23">
        <v>45356</v>
      </c>
      <c r="G76" s="24" t="s">
        <v>273</v>
      </c>
      <c r="H76" s="22" t="s">
        <v>28</v>
      </c>
      <c r="I76" s="22">
        <v>3</v>
      </c>
      <c r="J76" s="25">
        <v>2000</v>
      </c>
      <c r="K76" s="22">
        <v>0</v>
      </c>
      <c r="L76" s="25">
        <v>6000</v>
      </c>
      <c r="M76" s="25">
        <v>800</v>
      </c>
      <c r="N76" s="22" t="s">
        <v>29</v>
      </c>
    </row>
    <row r="77" spans="1:14" x14ac:dyDescent="0.3">
      <c r="A77" s="35" t="s">
        <v>120</v>
      </c>
      <c r="B77" s="26" t="s">
        <v>210</v>
      </c>
      <c r="C77" s="26" t="s">
        <v>32</v>
      </c>
      <c r="D77" s="26" t="s">
        <v>27</v>
      </c>
      <c r="E77" s="27">
        <v>45371</v>
      </c>
      <c r="F77" s="27">
        <v>45373</v>
      </c>
      <c r="G77" s="28" t="s">
        <v>278</v>
      </c>
      <c r="H77" s="26" t="s">
        <v>33</v>
      </c>
      <c r="I77" s="26">
        <v>1</v>
      </c>
      <c r="J77" s="29">
        <v>2500</v>
      </c>
      <c r="K77" s="26">
        <v>20</v>
      </c>
      <c r="L77" s="29">
        <v>2000</v>
      </c>
      <c r="M77" s="29">
        <v>300</v>
      </c>
      <c r="N77" s="26" t="s">
        <v>34</v>
      </c>
    </row>
    <row r="78" spans="1:14" x14ac:dyDescent="0.3">
      <c r="A78" s="34" t="s">
        <v>121</v>
      </c>
      <c r="B78" s="22" t="s">
        <v>211</v>
      </c>
      <c r="C78" s="22" t="s">
        <v>37</v>
      </c>
      <c r="D78" s="22" t="s">
        <v>16</v>
      </c>
      <c r="E78" s="23">
        <v>45383</v>
      </c>
      <c r="F78" s="23">
        <v>45388</v>
      </c>
      <c r="G78" s="24" t="s">
        <v>275</v>
      </c>
      <c r="H78" s="22" t="s">
        <v>17</v>
      </c>
      <c r="I78" s="22">
        <v>1</v>
      </c>
      <c r="J78" s="25">
        <v>40000</v>
      </c>
      <c r="K78" s="22">
        <v>15</v>
      </c>
      <c r="L78" s="25">
        <v>34000</v>
      </c>
      <c r="M78" s="25">
        <v>4500</v>
      </c>
      <c r="N78" s="22" t="s">
        <v>38</v>
      </c>
    </row>
    <row r="79" spans="1:14" x14ac:dyDescent="0.3">
      <c r="A79" s="35" t="s">
        <v>122</v>
      </c>
      <c r="B79" s="26" t="s">
        <v>212</v>
      </c>
      <c r="C79" s="26" t="s">
        <v>41</v>
      </c>
      <c r="D79" s="26" t="s">
        <v>42</v>
      </c>
      <c r="E79" s="27">
        <v>45390</v>
      </c>
      <c r="F79" s="27">
        <v>45394</v>
      </c>
      <c r="G79" s="28" t="s">
        <v>276</v>
      </c>
      <c r="H79" s="26" t="s">
        <v>22</v>
      </c>
      <c r="I79" s="26">
        <v>2</v>
      </c>
      <c r="J79" s="29">
        <v>8000</v>
      </c>
      <c r="K79" s="26">
        <v>0</v>
      </c>
      <c r="L79" s="29">
        <v>16000</v>
      </c>
      <c r="M79" s="29">
        <v>2500</v>
      </c>
      <c r="N79" s="26" t="s">
        <v>18</v>
      </c>
    </row>
    <row r="80" spans="1:14" x14ac:dyDescent="0.3">
      <c r="A80" s="34" t="s">
        <v>123</v>
      </c>
      <c r="B80" s="22" t="s">
        <v>213</v>
      </c>
      <c r="C80" s="22" t="s">
        <v>45</v>
      </c>
      <c r="D80" s="22" t="s">
        <v>16</v>
      </c>
      <c r="E80" s="23">
        <v>45397</v>
      </c>
      <c r="F80" s="23">
        <v>45400</v>
      </c>
      <c r="G80" s="23" t="s">
        <v>277</v>
      </c>
      <c r="H80" s="22" t="s">
        <v>28</v>
      </c>
      <c r="I80" s="22">
        <v>1</v>
      </c>
      <c r="J80" s="25">
        <v>25000</v>
      </c>
      <c r="K80" s="22">
        <v>10</v>
      </c>
      <c r="L80" s="25">
        <v>22500</v>
      </c>
      <c r="M80" s="25">
        <v>4000</v>
      </c>
      <c r="N80" s="22" t="s">
        <v>23</v>
      </c>
    </row>
    <row r="81" spans="1:14" x14ac:dyDescent="0.3">
      <c r="A81" s="35" t="s">
        <v>124</v>
      </c>
      <c r="B81" s="26" t="s">
        <v>214</v>
      </c>
      <c r="C81" s="26" t="s">
        <v>48</v>
      </c>
      <c r="D81" s="26" t="s">
        <v>42</v>
      </c>
      <c r="E81" s="27">
        <v>45413</v>
      </c>
      <c r="F81" s="27">
        <v>45416</v>
      </c>
      <c r="G81" s="28" t="s">
        <v>278</v>
      </c>
      <c r="H81" s="26" t="s">
        <v>33</v>
      </c>
      <c r="I81" s="26">
        <v>1</v>
      </c>
      <c r="J81" s="29">
        <v>30000</v>
      </c>
      <c r="K81" s="26">
        <v>5</v>
      </c>
      <c r="L81" s="29">
        <v>28500</v>
      </c>
      <c r="M81" s="29">
        <v>3500</v>
      </c>
      <c r="N81" s="26" t="s">
        <v>29</v>
      </c>
    </row>
    <row r="82" spans="1:14" x14ac:dyDescent="0.3">
      <c r="A82" s="34" t="s">
        <v>125</v>
      </c>
      <c r="B82" s="22" t="s">
        <v>215</v>
      </c>
      <c r="C82" s="22" t="s">
        <v>51</v>
      </c>
      <c r="D82" s="22" t="s">
        <v>42</v>
      </c>
      <c r="E82" s="23">
        <v>45422</v>
      </c>
      <c r="F82" s="23">
        <v>45427</v>
      </c>
      <c r="G82" s="24" t="s">
        <v>279</v>
      </c>
      <c r="H82" s="22" t="s">
        <v>17</v>
      </c>
      <c r="I82" s="22">
        <v>1</v>
      </c>
      <c r="J82" s="25">
        <v>35000</v>
      </c>
      <c r="K82" s="22">
        <v>0</v>
      </c>
      <c r="L82" s="25">
        <v>35000</v>
      </c>
      <c r="M82" s="25">
        <v>5000</v>
      </c>
      <c r="N82" s="22" t="s">
        <v>18</v>
      </c>
    </row>
    <row r="83" spans="1:14" x14ac:dyDescent="0.3">
      <c r="A83" s="35" t="s">
        <v>126</v>
      </c>
      <c r="B83" s="26" t="s">
        <v>216</v>
      </c>
      <c r="C83" s="26" t="s">
        <v>15</v>
      </c>
      <c r="D83" s="26" t="s">
        <v>16</v>
      </c>
      <c r="E83" s="27">
        <v>45296</v>
      </c>
      <c r="F83" s="27">
        <v>45298</v>
      </c>
      <c r="G83" s="28" t="s">
        <v>280</v>
      </c>
      <c r="H83" s="26" t="s">
        <v>17</v>
      </c>
      <c r="I83" s="26">
        <v>2</v>
      </c>
      <c r="J83" s="29">
        <v>15000</v>
      </c>
      <c r="K83" s="26">
        <v>10</v>
      </c>
      <c r="L83" s="29">
        <v>27000</v>
      </c>
      <c r="M83" s="29">
        <v>3500</v>
      </c>
      <c r="N83" s="26" t="s">
        <v>18</v>
      </c>
    </row>
    <row r="84" spans="1:14" x14ac:dyDescent="0.3">
      <c r="A84" s="34" t="s">
        <v>127</v>
      </c>
      <c r="B84" s="22" t="s">
        <v>217</v>
      </c>
      <c r="C84" s="22" t="s">
        <v>21</v>
      </c>
      <c r="D84" s="22" t="s">
        <v>16</v>
      </c>
      <c r="E84" s="23">
        <v>45332</v>
      </c>
      <c r="F84" s="23">
        <v>45336</v>
      </c>
      <c r="G84" s="24" t="s">
        <v>281</v>
      </c>
      <c r="H84" s="22" t="s">
        <v>22</v>
      </c>
      <c r="I84" s="22">
        <v>1</v>
      </c>
      <c r="J84" s="25">
        <v>50000</v>
      </c>
      <c r="K84" s="22">
        <v>5</v>
      </c>
      <c r="L84" s="25">
        <v>47500</v>
      </c>
      <c r="M84" s="25">
        <v>6000</v>
      </c>
      <c r="N84" s="22" t="s">
        <v>23</v>
      </c>
    </row>
    <row r="85" spans="1:14" x14ac:dyDescent="0.3">
      <c r="A85" s="35" t="s">
        <v>128</v>
      </c>
      <c r="B85" s="26" t="s">
        <v>218</v>
      </c>
      <c r="C85" s="26" t="s">
        <v>26</v>
      </c>
      <c r="D85" s="26" t="s">
        <v>27</v>
      </c>
      <c r="E85" s="27">
        <v>45354</v>
      </c>
      <c r="F85" s="27">
        <v>45356</v>
      </c>
      <c r="G85" s="28" t="s">
        <v>282</v>
      </c>
      <c r="H85" s="26" t="s">
        <v>28</v>
      </c>
      <c r="I85" s="26">
        <v>3</v>
      </c>
      <c r="J85" s="29">
        <v>2000</v>
      </c>
      <c r="K85" s="26">
        <v>0</v>
      </c>
      <c r="L85" s="29">
        <v>6000</v>
      </c>
      <c r="M85" s="29">
        <v>800</v>
      </c>
      <c r="N85" s="26" t="s">
        <v>29</v>
      </c>
    </row>
    <row r="86" spans="1:14" x14ac:dyDescent="0.3">
      <c r="A86" s="34" t="s">
        <v>129</v>
      </c>
      <c r="B86" s="22" t="s">
        <v>219</v>
      </c>
      <c r="C86" s="22" t="s">
        <v>32</v>
      </c>
      <c r="D86" s="22" t="s">
        <v>27</v>
      </c>
      <c r="E86" s="23">
        <v>45371</v>
      </c>
      <c r="F86" s="23">
        <v>45373</v>
      </c>
      <c r="G86" s="24" t="s">
        <v>283</v>
      </c>
      <c r="H86" s="22" t="s">
        <v>33</v>
      </c>
      <c r="I86" s="22">
        <v>1</v>
      </c>
      <c r="J86" s="25">
        <v>2500</v>
      </c>
      <c r="K86" s="22">
        <v>20</v>
      </c>
      <c r="L86" s="25">
        <v>2000</v>
      </c>
      <c r="M86" s="25">
        <v>300</v>
      </c>
      <c r="N86" s="22" t="s">
        <v>34</v>
      </c>
    </row>
    <row r="87" spans="1:14" x14ac:dyDescent="0.3">
      <c r="A87" s="35" t="s">
        <v>130</v>
      </c>
      <c r="B87" s="26" t="s">
        <v>220</v>
      </c>
      <c r="C87" s="26" t="s">
        <v>37</v>
      </c>
      <c r="D87" s="26" t="s">
        <v>16</v>
      </c>
      <c r="E87" s="27">
        <v>45383</v>
      </c>
      <c r="F87" s="27">
        <v>45388</v>
      </c>
      <c r="G87" s="24" t="s">
        <v>281</v>
      </c>
      <c r="H87" s="26" t="s">
        <v>17</v>
      </c>
      <c r="I87" s="26">
        <v>1</v>
      </c>
      <c r="J87" s="29">
        <v>40000</v>
      </c>
      <c r="K87" s="26">
        <v>15</v>
      </c>
      <c r="L87" s="29">
        <v>34000</v>
      </c>
      <c r="M87" s="29">
        <v>4500</v>
      </c>
      <c r="N87" s="26" t="s">
        <v>38</v>
      </c>
    </row>
    <row r="88" spans="1:14" x14ac:dyDescent="0.3">
      <c r="A88" s="34" t="s">
        <v>131</v>
      </c>
      <c r="B88" s="22" t="s">
        <v>221</v>
      </c>
      <c r="C88" s="22" t="s">
        <v>41</v>
      </c>
      <c r="D88" s="22" t="s">
        <v>42</v>
      </c>
      <c r="E88" s="23">
        <v>45390</v>
      </c>
      <c r="F88" s="23">
        <v>45394</v>
      </c>
      <c r="G88" s="24" t="s">
        <v>285</v>
      </c>
      <c r="H88" s="22" t="s">
        <v>22</v>
      </c>
      <c r="I88" s="22">
        <v>2</v>
      </c>
      <c r="J88" s="25">
        <v>8000</v>
      </c>
      <c r="K88" s="22">
        <v>0</v>
      </c>
      <c r="L88" s="25">
        <v>16000</v>
      </c>
      <c r="M88" s="25">
        <v>2500</v>
      </c>
      <c r="N88" s="22" t="s">
        <v>18</v>
      </c>
    </row>
    <row r="89" spans="1:14" x14ac:dyDescent="0.3">
      <c r="A89" s="35" t="s">
        <v>132</v>
      </c>
      <c r="B89" s="26" t="s">
        <v>222</v>
      </c>
      <c r="C89" s="26" t="s">
        <v>45</v>
      </c>
      <c r="D89" s="26" t="s">
        <v>16</v>
      </c>
      <c r="E89" s="27">
        <v>45397</v>
      </c>
      <c r="F89" s="27">
        <v>45400</v>
      </c>
      <c r="G89" s="24" t="s">
        <v>290</v>
      </c>
      <c r="H89" s="26" t="s">
        <v>28</v>
      </c>
      <c r="I89" s="26">
        <v>1</v>
      </c>
      <c r="J89" s="29">
        <v>25000</v>
      </c>
      <c r="K89" s="26">
        <v>10</v>
      </c>
      <c r="L89" s="29">
        <v>22500</v>
      </c>
      <c r="M89" s="29">
        <v>4000</v>
      </c>
      <c r="N89" s="26" t="s">
        <v>23</v>
      </c>
    </row>
    <row r="90" spans="1:14" x14ac:dyDescent="0.3">
      <c r="A90" s="34" t="s">
        <v>133</v>
      </c>
      <c r="B90" s="22" t="s">
        <v>223</v>
      </c>
      <c r="C90" s="22" t="s">
        <v>48</v>
      </c>
      <c r="D90" s="22" t="s">
        <v>42</v>
      </c>
      <c r="E90" s="23">
        <v>45413</v>
      </c>
      <c r="F90" s="23">
        <v>45416</v>
      </c>
      <c r="G90" s="30" t="s">
        <v>287</v>
      </c>
      <c r="H90" s="22" t="s">
        <v>33</v>
      </c>
      <c r="I90" s="22">
        <v>1</v>
      </c>
      <c r="J90" s="25">
        <v>30000</v>
      </c>
      <c r="K90" s="22">
        <v>5</v>
      </c>
      <c r="L90" s="25">
        <v>28500</v>
      </c>
      <c r="M90" s="25">
        <v>3500</v>
      </c>
      <c r="N90" s="22" t="s">
        <v>29</v>
      </c>
    </row>
    <row r="91" spans="1:14" x14ac:dyDescent="0.3">
      <c r="A91" s="35" t="s">
        <v>134</v>
      </c>
      <c r="B91" s="26" t="s">
        <v>224</v>
      </c>
      <c r="C91" s="26" t="s">
        <v>51</v>
      </c>
      <c r="D91" s="26" t="s">
        <v>42</v>
      </c>
      <c r="E91" s="27">
        <v>45422</v>
      </c>
      <c r="F91" s="27">
        <v>45427</v>
      </c>
      <c r="G91" s="27" t="s">
        <v>277</v>
      </c>
      <c r="H91" s="26" t="s">
        <v>17</v>
      </c>
      <c r="I91" s="26">
        <v>1</v>
      </c>
      <c r="J91" s="29">
        <v>35000</v>
      </c>
      <c r="K91" s="26">
        <v>0</v>
      </c>
      <c r="L91" s="29">
        <v>35000</v>
      </c>
      <c r="M91" s="29">
        <v>5000</v>
      </c>
      <c r="N91" s="26" t="s">
        <v>18</v>
      </c>
    </row>
    <row r="92" spans="1:14" x14ac:dyDescent="0.3">
      <c r="A92" s="34" t="s">
        <v>135</v>
      </c>
      <c r="B92" s="22" t="s">
        <v>225</v>
      </c>
      <c r="C92" s="22" t="s">
        <v>15</v>
      </c>
      <c r="D92" s="22" t="s">
        <v>16</v>
      </c>
      <c r="E92" s="23">
        <v>45296</v>
      </c>
      <c r="F92" s="23">
        <v>45298</v>
      </c>
      <c r="G92" s="24" t="s">
        <v>278</v>
      </c>
      <c r="H92" s="22" t="s">
        <v>17</v>
      </c>
      <c r="I92" s="22">
        <v>2</v>
      </c>
      <c r="J92" s="25">
        <v>15000</v>
      </c>
      <c r="K92" s="22">
        <v>10</v>
      </c>
      <c r="L92" s="25">
        <v>27000</v>
      </c>
      <c r="M92" s="25">
        <v>3500</v>
      </c>
      <c r="N92" s="22" t="s">
        <v>18</v>
      </c>
    </row>
    <row r="93" spans="1:14" x14ac:dyDescent="0.3">
      <c r="A93" s="35" t="s">
        <v>136</v>
      </c>
      <c r="B93" s="26" t="s">
        <v>226</v>
      </c>
      <c r="C93" s="26" t="s">
        <v>21</v>
      </c>
      <c r="D93" s="26" t="s">
        <v>16</v>
      </c>
      <c r="E93" s="27">
        <v>45332</v>
      </c>
      <c r="F93" s="27">
        <v>45336</v>
      </c>
      <c r="G93" s="28" t="s">
        <v>279</v>
      </c>
      <c r="H93" s="26" t="s">
        <v>22</v>
      </c>
      <c r="I93" s="26">
        <v>1</v>
      </c>
      <c r="J93" s="29">
        <v>50000</v>
      </c>
      <c r="K93" s="26">
        <v>5</v>
      </c>
      <c r="L93" s="29">
        <v>47500</v>
      </c>
      <c r="M93" s="29">
        <v>6000</v>
      </c>
      <c r="N93" s="26" t="s">
        <v>23</v>
      </c>
    </row>
    <row r="94" spans="1:14" x14ac:dyDescent="0.3">
      <c r="A94" s="34" t="s">
        <v>137</v>
      </c>
      <c r="B94" s="22" t="s">
        <v>227</v>
      </c>
      <c r="C94" s="22" t="s">
        <v>26</v>
      </c>
      <c r="D94" s="22" t="s">
        <v>27</v>
      </c>
      <c r="E94" s="23">
        <v>45354</v>
      </c>
      <c r="F94" s="23">
        <v>45356</v>
      </c>
      <c r="G94" s="24" t="s">
        <v>280</v>
      </c>
      <c r="H94" s="22" t="s">
        <v>28</v>
      </c>
      <c r="I94" s="22">
        <v>3</v>
      </c>
      <c r="J94" s="25">
        <v>2000</v>
      </c>
      <c r="K94" s="22">
        <v>0</v>
      </c>
      <c r="L94" s="25">
        <v>6000</v>
      </c>
      <c r="M94" s="25">
        <v>800</v>
      </c>
      <c r="N94" s="22" t="s">
        <v>29</v>
      </c>
    </row>
    <row r="95" spans="1:14" x14ac:dyDescent="0.3">
      <c r="A95" s="35" t="s">
        <v>138</v>
      </c>
      <c r="B95" s="26" t="s">
        <v>228</v>
      </c>
      <c r="C95" s="26" t="s">
        <v>32</v>
      </c>
      <c r="D95" s="26" t="s">
        <v>27</v>
      </c>
      <c r="E95" s="27">
        <v>45371</v>
      </c>
      <c r="F95" s="27">
        <v>45373</v>
      </c>
      <c r="G95" s="28" t="s">
        <v>281</v>
      </c>
      <c r="H95" s="26" t="s">
        <v>33</v>
      </c>
      <c r="I95" s="26">
        <v>1</v>
      </c>
      <c r="J95" s="29">
        <v>2500</v>
      </c>
      <c r="K95" s="26">
        <v>20</v>
      </c>
      <c r="L95" s="29">
        <v>2000</v>
      </c>
      <c r="M95" s="29">
        <v>300</v>
      </c>
      <c r="N95" s="26" t="s">
        <v>34</v>
      </c>
    </row>
    <row r="96" spans="1:14" x14ac:dyDescent="0.3">
      <c r="A96" s="34" t="s">
        <v>139</v>
      </c>
      <c r="B96" s="22" t="s">
        <v>229</v>
      </c>
      <c r="C96" s="22" t="s">
        <v>37</v>
      </c>
      <c r="D96" s="22" t="s">
        <v>16</v>
      </c>
      <c r="E96" s="23">
        <v>45383</v>
      </c>
      <c r="F96" s="23">
        <v>45388</v>
      </c>
      <c r="G96" s="24" t="s">
        <v>282</v>
      </c>
      <c r="H96" s="22" t="s">
        <v>17</v>
      </c>
      <c r="I96" s="22">
        <v>1</v>
      </c>
      <c r="J96" s="25">
        <v>40000</v>
      </c>
      <c r="K96" s="22">
        <v>15</v>
      </c>
      <c r="L96" s="25">
        <v>34000</v>
      </c>
      <c r="M96" s="25">
        <v>4500</v>
      </c>
      <c r="N96" s="22" t="s">
        <v>38</v>
      </c>
    </row>
    <row r="97" spans="1:14" x14ac:dyDescent="0.3">
      <c r="A97" s="35" t="s">
        <v>140</v>
      </c>
      <c r="B97" s="26" t="s">
        <v>230</v>
      </c>
      <c r="C97" s="26" t="s">
        <v>15</v>
      </c>
      <c r="D97" s="26" t="s">
        <v>16</v>
      </c>
      <c r="E97" s="27">
        <v>45296</v>
      </c>
      <c r="F97" s="27">
        <v>45298</v>
      </c>
      <c r="G97" s="28" t="s">
        <v>283</v>
      </c>
      <c r="H97" s="26" t="s">
        <v>17</v>
      </c>
      <c r="I97" s="26">
        <v>2</v>
      </c>
      <c r="J97" s="29">
        <v>15000</v>
      </c>
      <c r="K97" s="26">
        <v>10</v>
      </c>
      <c r="L97" s="29">
        <v>27000</v>
      </c>
      <c r="M97" s="29">
        <v>3500</v>
      </c>
      <c r="N97" s="26" t="s">
        <v>18</v>
      </c>
    </row>
    <row r="98" spans="1:14" x14ac:dyDescent="0.3">
      <c r="A98" s="34" t="s">
        <v>141</v>
      </c>
      <c r="B98" s="22" t="s">
        <v>231</v>
      </c>
      <c r="C98" s="22" t="s">
        <v>21</v>
      </c>
      <c r="D98" s="22" t="s">
        <v>16</v>
      </c>
      <c r="E98" s="23">
        <v>45332</v>
      </c>
      <c r="F98" s="23">
        <v>45336</v>
      </c>
      <c r="G98" s="24" t="s">
        <v>282</v>
      </c>
      <c r="H98" s="22" t="s">
        <v>22</v>
      </c>
      <c r="I98" s="22">
        <v>1</v>
      </c>
      <c r="J98" s="25">
        <v>50000</v>
      </c>
      <c r="K98" s="22">
        <v>5</v>
      </c>
      <c r="L98" s="25">
        <v>47500</v>
      </c>
      <c r="M98" s="25">
        <v>6000</v>
      </c>
      <c r="N98" s="22" t="s">
        <v>23</v>
      </c>
    </row>
    <row r="99" spans="1:14" x14ac:dyDescent="0.3">
      <c r="A99" s="35" t="s">
        <v>142</v>
      </c>
      <c r="B99" s="26" t="s">
        <v>232</v>
      </c>
      <c r="C99" s="26" t="s">
        <v>26</v>
      </c>
      <c r="D99" s="26" t="s">
        <v>27</v>
      </c>
      <c r="E99" s="27">
        <v>45354</v>
      </c>
      <c r="F99" s="27">
        <v>45356</v>
      </c>
      <c r="G99" s="28" t="s">
        <v>285</v>
      </c>
      <c r="H99" s="26" t="s">
        <v>28</v>
      </c>
      <c r="I99" s="26">
        <v>3</v>
      </c>
      <c r="J99" s="29">
        <v>2000</v>
      </c>
      <c r="K99" s="26">
        <v>0</v>
      </c>
      <c r="L99" s="29">
        <v>6000</v>
      </c>
      <c r="M99" s="29">
        <v>800</v>
      </c>
      <c r="N99" s="26" t="s">
        <v>29</v>
      </c>
    </row>
    <row r="100" spans="1:14" x14ac:dyDescent="0.3">
      <c r="A100" s="34" t="s">
        <v>143</v>
      </c>
      <c r="B100" s="22" t="s">
        <v>233</v>
      </c>
      <c r="C100" s="22" t="s">
        <v>32</v>
      </c>
      <c r="D100" s="22" t="s">
        <v>27</v>
      </c>
      <c r="E100" s="23">
        <v>45371</v>
      </c>
      <c r="F100" s="23">
        <v>45373</v>
      </c>
      <c r="G100" s="24" t="s">
        <v>286</v>
      </c>
      <c r="H100" s="22" t="s">
        <v>33</v>
      </c>
      <c r="I100" s="22">
        <v>1</v>
      </c>
      <c r="J100" s="25">
        <v>2500</v>
      </c>
      <c r="K100" s="22">
        <v>20</v>
      </c>
      <c r="L100" s="25">
        <v>2000</v>
      </c>
      <c r="M100" s="25">
        <v>300</v>
      </c>
      <c r="N100" s="22" t="s">
        <v>34</v>
      </c>
    </row>
    <row r="101" spans="1:14" x14ac:dyDescent="0.3">
      <c r="A101" s="36" t="s">
        <v>144</v>
      </c>
      <c r="B101" s="31" t="s">
        <v>234</v>
      </c>
      <c r="C101" s="31" t="s">
        <v>48</v>
      </c>
      <c r="D101" s="31" t="s">
        <v>42</v>
      </c>
      <c r="E101" s="32">
        <v>45413</v>
      </c>
      <c r="F101" s="32">
        <v>45416</v>
      </c>
      <c r="G101" s="42" t="s">
        <v>291</v>
      </c>
      <c r="H101" s="31" t="s">
        <v>33</v>
      </c>
      <c r="I101" s="31">
        <v>1</v>
      </c>
      <c r="J101" s="33">
        <v>30000</v>
      </c>
      <c r="K101" s="31">
        <v>5</v>
      </c>
      <c r="L101" s="33">
        <v>28500</v>
      </c>
      <c r="M101" s="33">
        <v>3500</v>
      </c>
      <c r="N101" s="31" t="s">
        <v>29</v>
      </c>
    </row>
    <row r="102" spans="1:14" x14ac:dyDescent="0.3">
      <c r="A102" s="1"/>
      <c r="B102" s="1"/>
      <c r="C102" s="1"/>
      <c r="D102" s="1"/>
      <c r="E102" s="3"/>
      <c r="F102" s="3"/>
      <c r="G102" s="3"/>
      <c r="H102" s="1"/>
      <c r="I102" s="1"/>
      <c r="J102" s="4"/>
      <c r="K102" s="1"/>
      <c r="L102" s="4"/>
      <c r="M102" s="4"/>
      <c r="N102" s="1"/>
    </row>
    <row r="103" spans="1:14" x14ac:dyDescent="0.3">
      <c r="A103" s="1"/>
      <c r="B103" s="1"/>
      <c r="C103" s="1"/>
      <c r="D103" s="1"/>
      <c r="E103" s="3"/>
      <c r="F103" s="3"/>
      <c r="G103" s="3"/>
      <c r="H103" s="1"/>
      <c r="I103" s="1"/>
      <c r="J103" s="4"/>
      <c r="K103" s="1"/>
      <c r="L103" s="4"/>
      <c r="M103" s="4"/>
      <c r="N103" s="1"/>
    </row>
    <row r="104" spans="1:14" x14ac:dyDescent="0.3">
      <c r="A104" s="1"/>
      <c r="B104" s="1"/>
      <c r="C104" s="1"/>
      <c r="D104" s="1"/>
      <c r="E104" s="3"/>
      <c r="F104" s="3"/>
      <c r="G104" s="3"/>
      <c r="H104" s="1"/>
      <c r="I104" s="1"/>
      <c r="J104" s="4"/>
      <c r="K104" s="1"/>
      <c r="L104" s="4"/>
      <c r="M104" s="4"/>
      <c r="N104" s="1"/>
    </row>
    <row r="105" spans="1:14" x14ac:dyDescent="0.3">
      <c r="A105" s="1"/>
      <c r="B105" s="1"/>
      <c r="C105" s="1"/>
      <c r="D105" s="1"/>
      <c r="E105" s="3"/>
      <c r="F105" s="3"/>
      <c r="G105" s="3"/>
      <c r="H105" s="1"/>
      <c r="I105" s="1"/>
      <c r="J105" s="4"/>
      <c r="K105" s="1"/>
      <c r="L105" s="4"/>
      <c r="M105" s="4"/>
      <c r="N105" s="1"/>
    </row>
  </sheetData>
  <phoneticPr fontId="1"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C09A3-533D-40F8-8A72-DF9C8B920568}">
  <dimension ref="C3:M26"/>
  <sheetViews>
    <sheetView topLeftCell="A2" workbookViewId="0">
      <selection activeCell="D7" sqref="D7"/>
    </sheetView>
  </sheetViews>
  <sheetFormatPr defaultRowHeight="14.4" x14ac:dyDescent="0.3"/>
  <cols>
    <col min="3" max="3" width="18.77734375" bestFit="1" customWidth="1"/>
    <col min="4" max="4" width="11.109375" bestFit="1" customWidth="1"/>
    <col min="6" max="6" width="15.21875" bestFit="1" customWidth="1"/>
    <col min="7" max="7" width="14" bestFit="1" customWidth="1"/>
    <col min="9" max="9" width="11.109375" bestFit="1" customWidth="1"/>
    <col min="10" max="10" width="10" bestFit="1" customWidth="1"/>
    <col min="12" max="12" width="13.88671875" bestFit="1" customWidth="1"/>
    <col min="13" max="13" width="10.21875" bestFit="1" customWidth="1"/>
  </cols>
  <sheetData>
    <row r="3" spans="3:13" ht="13.2" customHeight="1" x14ac:dyDescent="0.3"/>
    <row r="4" spans="3:13" ht="14.4" customHeight="1" x14ac:dyDescent="0.6">
      <c r="D4" s="7"/>
      <c r="G4" s="8"/>
    </row>
    <row r="5" spans="3:13" ht="15.6" x14ac:dyDescent="0.3">
      <c r="C5" s="12" t="s">
        <v>242</v>
      </c>
      <c r="D5" s="6"/>
      <c r="F5" s="9" t="s">
        <v>243</v>
      </c>
      <c r="I5" s="10" t="s">
        <v>244</v>
      </c>
      <c r="L5" s="11" t="s">
        <v>247</v>
      </c>
    </row>
    <row r="7" spans="3:13" x14ac:dyDescent="0.3">
      <c r="C7" s="43" t="s">
        <v>235</v>
      </c>
      <c r="D7" s="15">
        <f>SUM('Raw Data'!L2:L101)</f>
        <v>2307500</v>
      </c>
      <c r="F7" s="43" t="s">
        <v>6</v>
      </c>
      <c r="G7" s="43" t="s">
        <v>239</v>
      </c>
      <c r="I7" s="43" t="s">
        <v>6</v>
      </c>
      <c r="J7" s="43" t="s">
        <v>11</v>
      </c>
      <c r="L7" s="43" t="s">
        <v>240</v>
      </c>
      <c r="M7" s="43" t="s">
        <v>241</v>
      </c>
    </row>
    <row r="8" spans="3:13" x14ac:dyDescent="0.3">
      <c r="C8" s="43" t="s">
        <v>236</v>
      </c>
      <c r="D8" s="15">
        <f>SUM('Raw Data'!M2:M101)</f>
        <v>316200</v>
      </c>
      <c r="F8" s="14" t="str" cm="1">
        <f t="array" ref="F8:F11">_xlfn.UNIQUE('Raw Data'!H2:H101)</f>
        <v>North</v>
      </c>
      <c r="G8" s="15">
        <f>SUMIF('Raw Data'!$H$2:$H$101,F8,'Raw Data'!$L$2:$L$101)</f>
        <v>978000</v>
      </c>
      <c r="I8" s="14" t="str" cm="1">
        <f t="array" ref="I8:I11">_xlfn.UNIQUE('Raw Data'!H2:H101)</f>
        <v>North</v>
      </c>
      <c r="J8" s="15">
        <f>SUMIF('Raw Data'!$H$2:$H$101,F8,'Raw Data'!$M$2:$M$101)</f>
        <v>131500</v>
      </c>
      <c r="L8" s="14" t="str" cm="1">
        <f t="array" ref="L8:L12">_xlfn.UNIQUE('Raw Data'!N2:N101)</f>
        <v>UPI</v>
      </c>
      <c r="M8" s="14" cm="1">
        <f t="array" ref="M8">COUNTA(_xlfn.UNIQUE(_xlfn._xlws.FILTER('Raw Data'!B$2:B$101, 'Raw Data'!N$2:N$101=L8)))</f>
        <v>29</v>
      </c>
    </row>
    <row r="9" spans="3:13" x14ac:dyDescent="0.3">
      <c r="F9" s="14" t="str">
        <v>South</v>
      </c>
      <c r="G9" s="15">
        <f>SUMIF('Raw Data'!$H$2:$H$101,F9,'Raw Data'!$L$2:$L$101)</f>
        <v>746000</v>
      </c>
      <c r="I9" s="14" t="str">
        <v>South</v>
      </c>
      <c r="J9" s="15">
        <f>SUMIF('Raw Data'!$H$2:$H$101,F9,'Raw Data'!$M$2:$M$101)</f>
        <v>100500</v>
      </c>
      <c r="L9" s="14" t="str">
        <v>Credit Card</v>
      </c>
      <c r="M9" s="14" cm="1">
        <f t="array" ref="M9">COUNTA(_xlfn.UNIQUE(_xlfn._xlws.FILTER('Raw Data'!B$2:B$101, 'Raw Data'!N$2:N$101=L9)))</f>
        <v>21</v>
      </c>
    </row>
    <row r="10" spans="3:13" x14ac:dyDescent="0.3">
      <c r="C10" s="43" t="s">
        <v>237</v>
      </c>
      <c r="D10" s="16">
        <f>AVERAGE('Raw Data'!L2:L101)</f>
        <v>23075</v>
      </c>
      <c r="F10" s="14" t="str">
        <v>West</v>
      </c>
      <c r="G10" s="15">
        <f>SUMIF('Raw Data'!$H$2:$H$101,F10,'Raw Data'!$L$2:$L$101)</f>
        <v>274500</v>
      </c>
      <c r="I10" s="14" t="str">
        <v>West</v>
      </c>
      <c r="J10" s="16">
        <f>SUMIF('Raw Data'!$H$2:$H$101,F10,'Raw Data'!$M$2:$M$101)</f>
        <v>45600</v>
      </c>
      <c r="L10" s="14" t="str">
        <v>COD</v>
      </c>
      <c r="M10" s="14" cm="1">
        <f t="array" ref="M10">COUNTA(_xlfn.UNIQUE(_xlfn._xlws.FILTER('Raw Data'!B$2:B$101, 'Raw Data'!N$2:N$101=L10)))</f>
        <v>22</v>
      </c>
    </row>
    <row r="11" spans="3:13" x14ac:dyDescent="0.3">
      <c r="C11" s="43" t="s">
        <v>238</v>
      </c>
      <c r="D11" s="14">
        <f>SUM('Raw Data'!I2:I101)</f>
        <v>160</v>
      </c>
      <c r="F11" s="16" t="str">
        <v>East</v>
      </c>
      <c r="G11" s="15">
        <f>SUMIF('Raw Data'!$H$2:$H$101,F11,'Raw Data'!$L$2:$L$101)</f>
        <v>309000</v>
      </c>
      <c r="I11" s="14" t="str">
        <v>East</v>
      </c>
      <c r="J11" s="16">
        <f>SUMIF('Raw Data'!$H$2:$H$101,F11,'Raw Data'!$M$2:$M$101)</f>
        <v>38600</v>
      </c>
      <c r="L11" s="14" t="str">
        <v>Wallet</v>
      </c>
      <c r="M11" s="14" cm="1">
        <f t="array" ref="M11">COUNTA(_xlfn.UNIQUE(_xlfn._xlws.FILTER('Raw Data'!B$2:B$101, 'Raw Data'!N$2:N$101=L11)))</f>
        <v>17</v>
      </c>
    </row>
    <row r="12" spans="3:13" x14ac:dyDescent="0.3">
      <c r="L12" s="14" t="str">
        <v>Debit Card</v>
      </c>
      <c r="M12" s="14" cm="1">
        <f t="array" ref="M12">COUNTA(_xlfn.UNIQUE(_xlfn._xlws.FILTER('Raw Data'!B$2:B$101, 'Raw Data'!N$2:N$101=L12)))</f>
        <v>11</v>
      </c>
    </row>
    <row r="14" spans="3:13" ht="15.6" x14ac:dyDescent="0.3">
      <c r="F14" s="12" t="s">
        <v>245</v>
      </c>
      <c r="I14" s="13" t="s">
        <v>246</v>
      </c>
      <c r="L14" s="17" t="s">
        <v>252</v>
      </c>
    </row>
    <row r="16" spans="3:13" x14ac:dyDescent="0.3">
      <c r="F16" s="43" t="s">
        <v>3</v>
      </c>
      <c r="G16" s="43" t="s">
        <v>239</v>
      </c>
      <c r="I16" s="43" t="s">
        <v>2</v>
      </c>
      <c r="J16" s="43" t="s">
        <v>11</v>
      </c>
      <c r="L16" s="43" t="s">
        <v>2</v>
      </c>
      <c r="M16" s="43" t="s">
        <v>7</v>
      </c>
    </row>
    <row r="17" spans="6:13" x14ac:dyDescent="0.3">
      <c r="F17" s="14" t="str" cm="1">
        <f t="array" ref="F17:F19">_xlfn.UNIQUE('Raw Data'!D2:D101)</f>
        <v>Electronics</v>
      </c>
      <c r="G17" s="15">
        <f>SUMIF('Raw Data'!$D$2:$D$101,F17,'Raw Data'!$L$2:$L$101)</f>
        <v>1502500</v>
      </c>
      <c r="I17" s="14" t="str" cm="1">
        <f t="array" ref="I17:I26">_xlfn.UNIQUE('Raw Data'!C2:C101)</f>
        <v>Mobile</v>
      </c>
      <c r="J17" s="16">
        <f>SUMIF('Raw Data'!$C$2:$C$101,I17,'Raw Data'!$M$2:$M$101)</f>
        <v>42000</v>
      </c>
      <c r="L17" s="14" t="str" cm="1">
        <f t="array" ref="L17:L26">_xlfn.UNIQUE('Raw Data'!C2:C101)</f>
        <v>Mobile</v>
      </c>
      <c r="M17" s="14">
        <f>SUMIF('Raw Data'!$C$2:$C$101, L17, 'Raw Data'!$I$2:$I$101)</f>
        <v>24</v>
      </c>
    </row>
    <row r="18" spans="6:13" x14ac:dyDescent="0.3">
      <c r="F18" s="14" t="str">
        <v>Fashion</v>
      </c>
      <c r="G18" s="16">
        <f>SUMIF('Raw Data'!$D$2:$D$101,F18,'Raw Data'!$L$2:$L$101)</f>
        <v>96000</v>
      </c>
      <c r="I18" s="14" t="str">
        <v>Laptop</v>
      </c>
      <c r="J18" s="16">
        <f>SUMIF('Raw Data'!$C$2:$C$101,I18,'Raw Data'!$M$2:$M$101)</f>
        <v>72000</v>
      </c>
      <c r="L18" s="14" t="str">
        <v>Laptop</v>
      </c>
      <c r="M18" s="14">
        <f>SUMIF('Raw Data'!$C$2:$C$101, L18, 'Raw Data'!$I$2:$I$101)</f>
        <v>12</v>
      </c>
    </row>
    <row r="19" spans="6:13" x14ac:dyDescent="0.3">
      <c r="F19" s="14" t="str">
        <v>Home Appliance</v>
      </c>
      <c r="G19" s="15">
        <f>SUMIF('Raw Data'!$D$2:$D$101,F19,'Raw Data'!$L$2:$L$101)</f>
        <v>709000</v>
      </c>
      <c r="I19" s="14" t="str">
        <v>Shoes</v>
      </c>
      <c r="J19" s="16">
        <f>SUMIF('Raw Data'!$C$2:$C$101,I19,'Raw Data'!$M$2:$M$101)</f>
        <v>9600</v>
      </c>
      <c r="L19" s="14" t="str">
        <v>Shoes</v>
      </c>
      <c r="M19" s="14">
        <f>SUMIF('Raw Data'!$C$2:$C$101, L19, 'Raw Data'!$I$2:$I$101)</f>
        <v>36</v>
      </c>
    </row>
    <row r="20" spans="6:13" x14ac:dyDescent="0.3">
      <c r="G20" s="6"/>
      <c r="I20" s="14" t="str">
        <v>Watch</v>
      </c>
      <c r="J20" s="16">
        <f>SUMIF('Raw Data'!$C$2:$C$101,I20,'Raw Data'!$M$2:$M$101)</f>
        <v>3600</v>
      </c>
      <c r="L20" s="14" t="str">
        <v>Watch</v>
      </c>
      <c r="M20" s="14">
        <f>SUMIF('Raw Data'!$C$2:$C$101, L20, 'Raw Data'!$I$2:$I$101)</f>
        <v>12</v>
      </c>
    </row>
    <row r="21" spans="6:13" ht="15.6" x14ac:dyDescent="0.3">
      <c r="F21" s="10" t="s">
        <v>253</v>
      </c>
      <c r="G21" s="6"/>
      <c r="I21" s="14" t="str">
        <v>TV</v>
      </c>
      <c r="J21" s="16">
        <f>SUMIF('Raw Data'!$C$2:$C$101,I21,'Raw Data'!$M$2:$M$101)</f>
        <v>49500</v>
      </c>
      <c r="L21" s="14" t="str">
        <v>TV</v>
      </c>
      <c r="M21" s="14">
        <f>SUMIF('Raw Data'!$C$2:$C$101, L21, 'Raw Data'!$I$2:$I$101)</f>
        <v>11</v>
      </c>
    </row>
    <row r="22" spans="6:13" x14ac:dyDescent="0.3">
      <c r="I22" s="14" t="str">
        <v>Microwave</v>
      </c>
      <c r="J22" s="16">
        <f>SUMIF('Raw Data'!$C$2:$C$101,I22,'Raw Data'!$M$2:$M$101)</f>
        <v>22500</v>
      </c>
      <c r="L22" s="14" t="str">
        <v>Microwave</v>
      </c>
      <c r="M22" s="14">
        <f>SUMIF('Raw Data'!$C$2:$C$101, L22, 'Raw Data'!$I$2:$I$101)</f>
        <v>18</v>
      </c>
    </row>
    <row r="23" spans="6:13" x14ac:dyDescent="0.3">
      <c r="F23" s="43" t="s">
        <v>3</v>
      </c>
      <c r="G23" s="43" t="s">
        <v>7</v>
      </c>
      <c r="I23" s="14" t="str">
        <v>Camera</v>
      </c>
      <c r="J23" s="16">
        <f>SUMIF('Raw Data'!$C$2:$C$101,I23,'Raw Data'!$M$2:$M$101)</f>
        <v>36000</v>
      </c>
      <c r="L23" s="14" t="str">
        <v>Camera</v>
      </c>
      <c r="M23" s="14">
        <f>SUMIF('Raw Data'!$C$2:$C$101, L23, 'Raw Data'!$I$2:$I$101)</f>
        <v>9</v>
      </c>
    </row>
    <row r="24" spans="6:13" x14ac:dyDescent="0.3">
      <c r="F24" s="14" t="str" cm="1">
        <f t="array" ref="F24:F26">_xlfn.UNIQUE('Raw Data'!D2:D101)</f>
        <v>Electronics</v>
      </c>
      <c r="G24" s="14">
        <f>SUMIF('Raw Data'!$D$2:$D$101, F24, 'Raw Data'!$I$2:$I$101)</f>
        <v>76</v>
      </c>
      <c r="I24" s="14" t="str">
        <v>Refrigerator</v>
      </c>
      <c r="J24" s="16">
        <f>SUMIF('Raw Data'!$C$2:$C$101,I24,'Raw Data'!$M$2:$M$101)</f>
        <v>35000</v>
      </c>
      <c r="L24" s="14" t="str">
        <v>Refrigerator</v>
      </c>
      <c r="M24" s="14">
        <f>SUMIF('Raw Data'!$C$2:$C$101, L24, 'Raw Data'!$I$2:$I$101)</f>
        <v>10</v>
      </c>
    </row>
    <row r="25" spans="6:13" x14ac:dyDescent="0.3">
      <c r="F25" s="14" t="str">
        <v>Fashion</v>
      </c>
      <c r="G25" s="14">
        <f>SUMIF('Raw Data'!$D$2:$D$101, F25, 'Raw Data'!$I$2:$I$101)</f>
        <v>48</v>
      </c>
      <c r="I25" s="14" t="str">
        <v>AC</v>
      </c>
      <c r="J25" s="16">
        <f>SUMIF('Raw Data'!$C$2:$C$101,I25,'Raw Data'!$M$2:$M$101)</f>
        <v>40000</v>
      </c>
      <c r="L25" s="14" t="str">
        <v>AC</v>
      </c>
      <c r="M25" s="14">
        <f>SUMIF('Raw Data'!$C$2:$C$101, L25, 'Raw Data'!$I$2:$I$101)</f>
        <v>8</v>
      </c>
    </row>
    <row r="26" spans="6:13" x14ac:dyDescent="0.3">
      <c r="F26" s="14" t="str">
        <v>Home Appliance</v>
      </c>
      <c r="G26" s="14">
        <f>SUMIF('Raw Data'!$D$2:$D$101, F26, 'Raw Data'!$I$2:$I$101)</f>
        <v>36</v>
      </c>
      <c r="I26" s="14" t="str">
        <v>Headphones</v>
      </c>
      <c r="J26" s="16">
        <f>SUMIF('Raw Data'!$C$2:$C$101,I26,'Raw Data'!$M$2:$M$101)</f>
        <v>6000</v>
      </c>
      <c r="L26" s="14" t="str">
        <v>Headphones</v>
      </c>
      <c r="M26" s="14">
        <f>SUMIF('Raw Data'!$C$2:$C$101, L26, 'Raw Data'!$I$2:$I$101)</f>
        <v>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4A6D2-E1C0-4B63-B6D8-122E5100BEBD}">
  <dimension ref="J3:L7"/>
  <sheetViews>
    <sheetView topLeftCell="B1" workbookViewId="0">
      <selection activeCell="O6" sqref="O6"/>
    </sheetView>
  </sheetViews>
  <sheetFormatPr defaultRowHeight="14.4" x14ac:dyDescent="0.3"/>
  <cols>
    <col min="3" max="5" width="9.33203125" customWidth="1"/>
    <col min="6" max="6" width="9" customWidth="1"/>
    <col min="10" max="10" width="14.77734375" bestFit="1" customWidth="1"/>
    <col min="11" max="11" width="18.21875" bestFit="1" customWidth="1"/>
    <col min="12" max="12" width="12.109375" bestFit="1" customWidth="1"/>
  </cols>
  <sheetData>
    <row r="3" spans="10:12" x14ac:dyDescent="0.3">
      <c r="J3" s="19" t="s">
        <v>248</v>
      </c>
      <c r="K3" s="14" t="s">
        <v>257</v>
      </c>
      <c r="L3" s="14" t="s">
        <v>250</v>
      </c>
    </row>
    <row r="4" spans="10:12" x14ac:dyDescent="0.3">
      <c r="J4" s="14" t="s">
        <v>254</v>
      </c>
      <c r="K4" s="15">
        <v>324000</v>
      </c>
      <c r="L4" s="16">
        <v>42000</v>
      </c>
    </row>
    <row r="5" spans="10:12" x14ac:dyDescent="0.3">
      <c r="J5" s="14" t="s">
        <v>255</v>
      </c>
      <c r="K5" s="15">
        <v>374000</v>
      </c>
      <c r="L5" s="15">
        <v>49500</v>
      </c>
    </row>
    <row r="6" spans="10:12" x14ac:dyDescent="0.3">
      <c r="J6" s="14" t="s">
        <v>256</v>
      </c>
      <c r="K6" s="15">
        <v>280000</v>
      </c>
      <c r="L6" s="16">
        <v>40000</v>
      </c>
    </row>
    <row r="7" spans="10:12" x14ac:dyDescent="0.3">
      <c r="J7" s="14" t="s">
        <v>249</v>
      </c>
      <c r="K7" s="15">
        <v>978000</v>
      </c>
      <c r="L7" s="15">
        <v>131500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84072-7EFC-494D-9D98-DECEAE42F344}">
  <dimension ref="H5:L9"/>
  <sheetViews>
    <sheetView workbookViewId="0">
      <selection activeCell="F10" sqref="F10"/>
    </sheetView>
  </sheetViews>
  <sheetFormatPr defaultRowHeight="14.4" x14ac:dyDescent="0.3"/>
  <cols>
    <col min="3" max="3" width="8.77734375" customWidth="1"/>
    <col min="4" max="4" width="8.5546875" customWidth="1"/>
    <col min="6" max="6" width="9.33203125" customWidth="1"/>
    <col min="7" max="7" width="9.33203125" bestFit="1" customWidth="1"/>
    <col min="8" max="8" width="14.77734375" bestFit="1" customWidth="1"/>
    <col min="9" max="9" width="12.109375" bestFit="1" customWidth="1"/>
    <col min="11" max="11" width="14.33203125" bestFit="1" customWidth="1"/>
    <col min="12" max="12" width="9.33203125" bestFit="1" customWidth="1"/>
  </cols>
  <sheetData>
    <row r="5" spans="8:12" x14ac:dyDescent="0.3">
      <c r="H5" s="19" t="s">
        <v>248</v>
      </c>
      <c r="I5" s="14" t="s">
        <v>250</v>
      </c>
      <c r="K5" s="14" t="s">
        <v>259</v>
      </c>
      <c r="L5" s="14" t="s">
        <v>11</v>
      </c>
    </row>
    <row r="6" spans="8:12" x14ac:dyDescent="0.3">
      <c r="H6" s="14" t="s">
        <v>16</v>
      </c>
      <c r="I6" s="15">
        <v>91500</v>
      </c>
      <c r="K6" s="14" t="str">
        <f>H6</f>
        <v>Electronics</v>
      </c>
      <c r="L6" s="15">
        <f>GETPIVOTDATA("Profit",$H$5,"Category",K6)</f>
        <v>91500</v>
      </c>
    </row>
    <row r="7" spans="8:12" x14ac:dyDescent="0.3">
      <c r="H7" s="14" t="s">
        <v>42</v>
      </c>
      <c r="I7" s="16">
        <v>40000</v>
      </c>
      <c r="K7" s="14" t="str">
        <f>H7</f>
        <v>Home Appliance</v>
      </c>
      <c r="L7" s="16">
        <f>GETPIVOTDATA("Profit",$H$5,"Category",K7)</f>
        <v>40000</v>
      </c>
    </row>
    <row r="8" spans="8:12" x14ac:dyDescent="0.3">
      <c r="H8" s="14" t="s">
        <v>249</v>
      </c>
      <c r="I8" s="15">
        <v>131500</v>
      </c>
      <c r="K8" s="14" t="str">
        <f>H8</f>
        <v>Grand Total</v>
      </c>
      <c r="L8" s="16" t="e">
        <f>GETPIVOTDATA("Profit",$H$5,"Category",K8)</f>
        <v>#REF!</v>
      </c>
    </row>
    <row r="9" spans="8:12" x14ac:dyDescent="0.3">
      <c r="K9" s="14">
        <f>H9</f>
        <v>0</v>
      </c>
      <c r="L9" s="15">
        <f>GETPIVOTDATA("Profit",$H$5)</f>
        <v>131500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9863D-019F-4B02-AD12-D7A62DFFE132}">
  <dimension ref="I6:J9"/>
  <sheetViews>
    <sheetView workbookViewId="0">
      <selection activeCell="L8" sqref="L8"/>
    </sheetView>
  </sheetViews>
  <sheetFormatPr defaultRowHeight="14.4" x14ac:dyDescent="0.3"/>
  <cols>
    <col min="4" max="4" width="9.44140625" customWidth="1"/>
    <col min="5" max="5" width="8.5546875" customWidth="1"/>
    <col min="9" max="9" width="14.77734375" bestFit="1" customWidth="1"/>
    <col min="10" max="10" width="18.21875" bestFit="1" customWidth="1"/>
  </cols>
  <sheetData>
    <row r="6" spans="9:10" x14ac:dyDescent="0.3">
      <c r="I6" s="19" t="s">
        <v>248</v>
      </c>
      <c r="J6" s="14" t="s">
        <v>257</v>
      </c>
    </row>
    <row r="7" spans="9:10" x14ac:dyDescent="0.3">
      <c r="I7" s="14" t="s">
        <v>16</v>
      </c>
      <c r="J7" s="44">
        <v>0.71370143149284249</v>
      </c>
    </row>
    <row r="8" spans="9:10" x14ac:dyDescent="0.3">
      <c r="I8" s="14" t="s">
        <v>42</v>
      </c>
      <c r="J8" s="44">
        <v>0.28629856850715746</v>
      </c>
    </row>
    <row r="9" spans="9:10" x14ac:dyDescent="0.3">
      <c r="I9" s="14" t="s">
        <v>249</v>
      </c>
      <c r="J9" s="44">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51F10-BD73-4D4E-9A82-96475E2BDE2A}">
  <dimension ref="A1:J9"/>
  <sheetViews>
    <sheetView workbookViewId="0">
      <selection activeCell="J6" sqref="J6"/>
    </sheetView>
  </sheetViews>
  <sheetFormatPr defaultRowHeight="14.4" x14ac:dyDescent="0.3"/>
  <cols>
    <col min="3" max="3" width="8.88671875" customWidth="1"/>
    <col min="4" max="4" width="9.33203125" customWidth="1"/>
    <col min="9" max="9" width="14.77734375" bestFit="1" customWidth="1"/>
    <col min="10" max="10" width="18.21875" bestFit="1" customWidth="1"/>
  </cols>
  <sheetData>
    <row r="1" spans="1:10" x14ac:dyDescent="0.3">
      <c r="A1" t="s">
        <v>258</v>
      </c>
    </row>
    <row r="5" spans="1:10" x14ac:dyDescent="0.3">
      <c r="I5" s="19" t="s">
        <v>248</v>
      </c>
      <c r="J5" s="14" t="s">
        <v>257</v>
      </c>
    </row>
    <row r="6" spans="1:10" x14ac:dyDescent="0.3">
      <c r="I6" s="14" t="s">
        <v>51</v>
      </c>
      <c r="J6" s="15">
        <v>280000</v>
      </c>
    </row>
    <row r="7" spans="1:10" x14ac:dyDescent="0.3">
      <c r="I7" s="14" t="s">
        <v>15</v>
      </c>
      <c r="J7" s="15">
        <v>324000</v>
      </c>
    </row>
    <row r="8" spans="1:10" x14ac:dyDescent="0.3">
      <c r="I8" s="14" t="s">
        <v>37</v>
      </c>
      <c r="J8" s="15">
        <v>374000</v>
      </c>
    </row>
    <row r="9" spans="1:10" x14ac:dyDescent="0.3">
      <c r="I9" s="14" t="s">
        <v>249</v>
      </c>
      <c r="J9" s="15">
        <v>978000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06ACC-E987-4F62-BC62-E923E4BE09A6}">
  <dimension ref="D6:H38"/>
  <sheetViews>
    <sheetView topLeftCell="A6" zoomScale="88" workbookViewId="0">
      <selection activeCell="F17" sqref="F17"/>
    </sheetView>
  </sheetViews>
  <sheetFormatPr defaultRowHeight="14.4" x14ac:dyDescent="0.3"/>
  <cols>
    <col min="4" max="4" width="15.5546875" bestFit="1" customWidth="1"/>
    <col min="5" max="5" width="18.5546875" bestFit="1" customWidth="1"/>
    <col min="7" max="7" width="16.21875" bestFit="1" customWidth="1"/>
    <col min="8" max="8" width="9.44140625" bestFit="1" customWidth="1"/>
  </cols>
  <sheetData>
    <row r="6" spans="4:8" x14ac:dyDescent="0.3">
      <c r="G6" s="6"/>
      <c r="H6" s="6"/>
    </row>
    <row r="7" spans="4:8" x14ac:dyDescent="0.3">
      <c r="G7" s="6"/>
      <c r="H7" s="41"/>
    </row>
    <row r="8" spans="4:8" x14ac:dyDescent="0.3">
      <c r="G8" s="6"/>
      <c r="H8" s="41"/>
    </row>
    <row r="9" spans="4:8" x14ac:dyDescent="0.3">
      <c r="D9" s="19" t="s">
        <v>248</v>
      </c>
      <c r="E9" s="14" t="s">
        <v>257</v>
      </c>
      <c r="G9" s="43" t="s">
        <v>260</v>
      </c>
      <c r="H9" s="45" t="s">
        <v>239</v>
      </c>
    </row>
    <row r="10" spans="4:8" x14ac:dyDescent="0.3">
      <c r="D10" s="14" t="s">
        <v>273</v>
      </c>
      <c r="E10" s="15">
        <v>150900</v>
      </c>
      <c r="G10" s="14" t="str">
        <f>D10</f>
        <v>Maharashtra</v>
      </c>
      <c r="H10" s="16">
        <f>GETPIVOTDATA("Order_Value",$D$9,"State",G10)</f>
        <v>150900</v>
      </c>
    </row>
    <row r="11" spans="4:8" x14ac:dyDescent="0.3">
      <c r="D11" s="14" t="s">
        <v>249</v>
      </c>
      <c r="E11" s="15">
        <v>150900</v>
      </c>
      <c r="G11" s="14" t="str">
        <f t="shared" ref="G11:G38" si="0">D11</f>
        <v>Grand Total</v>
      </c>
      <c r="H11" s="16" t="e">
        <f t="shared" ref="H11:H38" si="1">GETPIVOTDATA("Order_Value",$D$9,"State",G11)</f>
        <v>#REF!</v>
      </c>
    </row>
    <row r="12" spans="4:8" x14ac:dyDescent="0.3">
      <c r="G12" s="14">
        <f t="shared" si="0"/>
        <v>0</v>
      </c>
      <c r="H12" s="16" t="e">
        <f t="shared" si="1"/>
        <v>#REF!</v>
      </c>
    </row>
    <row r="13" spans="4:8" x14ac:dyDescent="0.3">
      <c r="G13" s="14">
        <f t="shared" si="0"/>
        <v>0</v>
      </c>
      <c r="H13" s="16" t="e">
        <f t="shared" si="1"/>
        <v>#REF!</v>
      </c>
    </row>
    <row r="14" spans="4:8" x14ac:dyDescent="0.3">
      <c r="G14" s="14">
        <f t="shared" si="0"/>
        <v>0</v>
      </c>
      <c r="H14" s="16" t="e">
        <f t="shared" si="1"/>
        <v>#REF!</v>
      </c>
    </row>
    <row r="15" spans="4:8" x14ac:dyDescent="0.3">
      <c r="G15" s="14">
        <f t="shared" si="0"/>
        <v>0</v>
      </c>
      <c r="H15" s="16" t="e">
        <f t="shared" si="1"/>
        <v>#REF!</v>
      </c>
    </row>
    <row r="16" spans="4:8" x14ac:dyDescent="0.3">
      <c r="G16" s="14">
        <f t="shared" si="0"/>
        <v>0</v>
      </c>
      <c r="H16" s="16" t="e">
        <f t="shared" si="1"/>
        <v>#REF!</v>
      </c>
    </row>
    <row r="17" spans="7:8" x14ac:dyDescent="0.3">
      <c r="G17" s="14">
        <f t="shared" si="0"/>
        <v>0</v>
      </c>
      <c r="H17" s="16" t="e">
        <f t="shared" si="1"/>
        <v>#REF!</v>
      </c>
    </row>
    <row r="18" spans="7:8" x14ac:dyDescent="0.3">
      <c r="G18" s="14">
        <f t="shared" si="0"/>
        <v>0</v>
      </c>
      <c r="H18" s="15" t="e">
        <f t="shared" si="1"/>
        <v>#REF!</v>
      </c>
    </row>
    <row r="19" spans="7:8" x14ac:dyDescent="0.3">
      <c r="G19" s="14">
        <f t="shared" si="0"/>
        <v>0</v>
      </c>
      <c r="H19" s="16" t="e">
        <f t="shared" si="1"/>
        <v>#REF!</v>
      </c>
    </row>
    <row r="20" spans="7:8" x14ac:dyDescent="0.3">
      <c r="G20" s="14">
        <f t="shared" si="0"/>
        <v>0</v>
      </c>
      <c r="H20" s="16" t="e">
        <f t="shared" si="1"/>
        <v>#REF!</v>
      </c>
    </row>
    <row r="21" spans="7:8" x14ac:dyDescent="0.3">
      <c r="G21" s="14">
        <f t="shared" si="0"/>
        <v>0</v>
      </c>
      <c r="H21" s="15" t="e">
        <f t="shared" si="1"/>
        <v>#REF!</v>
      </c>
    </row>
    <row r="22" spans="7:8" x14ac:dyDescent="0.3">
      <c r="G22" s="14">
        <f t="shared" si="0"/>
        <v>0</v>
      </c>
      <c r="H22" s="16" t="e">
        <f t="shared" si="1"/>
        <v>#REF!</v>
      </c>
    </row>
    <row r="23" spans="7:8" x14ac:dyDescent="0.3">
      <c r="G23" s="14">
        <f t="shared" si="0"/>
        <v>0</v>
      </c>
      <c r="H23" s="15" t="e">
        <f t="shared" si="1"/>
        <v>#REF!</v>
      </c>
    </row>
    <row r="24" spans="7:8" x14ac:dyDescent="0.3">
      <c r="G24" s="14">
        <f t="shared" si="0"/>
        <v>0</v>
      </c>
      <c r="H24" s="16" t="e">
        <f t="shared" si="1"/>
        <v>#REF!</v>
      </c>
    </row>
    <row r="25" spans="7:8" x14ac:dyDescent="0.3">
      <c r="G25" s="14">
        <f t="shared" si="0"/>
        <v>0</v>
      </c>
      <c r="H25" s="15" t="e">
        <f t="shared" si="1"/>
        <v>#REF!</v>
      </c>
    </row>
    <row r="26" spans="7:8" x14ac:dyDescent="0.3">
      <c r="G26" s="14">
        <f t="shared" si="0"/>
        <v>0</v>
      </c>
      <c r="H26" s="16" t="e">
        <f t="shared" si="1"/>
        <v>#REF!</v>
      </c>
    </row>
    <row r="27" spans="7:8" x14ac:dyDescent="0.3">
      <c r="G27" s="14">
        <f t="shared" si="0"/>
        <v>0</v>
      </c>
      <c r="H27" s="15" t="e">
        <f t="shared" si="1"/>
        <v>#REF!</v>
      </c>
    </row>
    <row r="28" spans="7:8" x14ac:dyDescent="0.3">
      <c r="G28" s="14">
        <f t="shared" si="0"/>
        <v>0</v>
      </c>
      <c r="H28" s="16" t="e">
        <f t="shared" si="1"/>
        <v>#REF!</v>
      </c>
    </row>
    <row r="29" spans="7:8" x14ac:dyDescent="0.3">
      <c r="G29" s="14">
        <f t="shared" si="0"/>
        <v>0</v>
      </c>
      <c r="H29" s="16" t="e">
        <f t="shared" si="1"/>
        <v>#REF!</v>
      </c>
    </row>
    <row r="30" spans="7:8" x14ac:dyDescent="0.3">
      <c r="G30" s="14">
        <f t="shared" si="0"/>
        <v>0</v>
      </c>
      <c r="H30" s="16" t="e">
        <f t="shared" si="1"/>
        <v>#REF!</v>
      </c>
    </row>
    <row r="31" spans="7:8" x14ac:dyDescent="0.3">
      <c r="G31" s="14">
        <f t="shared" si="0"/>
        <v>0</v>
      </c>
      <c r="H31" s="15" t="e">
        <f t="shared" si="1"/>
        <v>#REF!</v>
      </c>
    </row>
    <row r="32" spans="7:8" x14ac:dyDescent="0.3">
      <c r="G32" s="14">
        <f t="shared" si="0"/>
        <v>0</v>
      </c>
      <c r="H32" s="15" t="e">
        <f t="shared" si="1"/>
        <v>#REF!</v>
      </c>
    </row>
    <row r="33" spans="7:8" x14ac:dyDescent="0.3">
      <c r="G33" s="14">
        <f t="shared" si="0"/>
        <v>0</v>
      </c>
      <c r="H33" s="15" t="e">
        <f t="shared" si="1"/>
        <v>#REF!</v>
      </c>
    </row>
    <row r="34" spans="7:8" x14ac:dyDescent="0.3">
      <c r="G34" s="14">
        <f t="shared" si="0"/>
        <v>0</v>
      </c>
      <c r="H34" s="16" t="e">
        <f t="shared" si="1"/>
        <v>#REF!</v>
      </c>
    </row>
    <row r="35" spans="7:8" x14ac:dyDescent="0.3">
      <c r="G35" s="14">
        <f t="shared" si="0"/>
        <v>0</v>
      </c>
      <c r="H35" s="16" t="e">
        <f t="shared" si="1"/>
        <v>#REF!</v>
      </c>
    </row>
    <row r="36" spans="7:8" x14ac:dyDescent="0.3">
      <c r="G36" s="14">
        <f t="shared" si="0"/>
        <v>0</v>
      </c>
      <c r="H36" s="16" t="e">
        <f t="shared" si="1"/>
        <v>#REF!</v>
      </c>
    </row>
    <row r="37" spans="7:8" x14ac:dyDescent="0.3">
      <c r="G37" s="14">
        <f t="shared" si="0"/>
        <v>0</v>
      </c>
      <c r="H37" s="16" t="e">
        <f t="shared" si="1"/>
        <v>#REF!</v>
      </c>
    </row>
    <row r="38" spans="7:8" x14ac:dyDescent="0.3">
      <c r="G38" s="14">
        <f t="shared" si="0"/>
        <v>0</v>
      </c>
      <c r="H38" s="16" t="e">
        <f t="shared" si="1"/>
        <v>#REF!</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A167D-998B-4420-9FDB-A8FEC3F3625B}">
  <dimension ref="C7:N15"/>
  <sheetViews>
    <sheetView topLeftCell="A3" zoomScale="87" workbookViewId="0">
      <selection activeCell="D8" sqref="D8"/>
    </sheetView>
  </sheetViews>
  <sheetFormatPr defaultRowHeight="14.4" x14ac:dyDescent="0.3"/>
  <cols>
    <col min="3" max="3" width="15.6640625" bestFit="1" customWidth="1"/>
    <col min="4" max="4" width="18.77734375" bestFit="1" customWidth="1"/>
    <col min="6" max="6" width="15.6640625" bestFit="1" customWidth="1"/>
    <col min="7" max="7" width="12.44140625" bestFit="1" customWidth="1"/>
    <col min="10" max="10" width="15.6640625" bestFit="1" customWidth="1"/>
    <col min="11" max="11" width="15.44140625" bestFit="1" customWidth="1"/>
    <col min="13" max="13" width="15.6640625" bestFit="1" customWidth="1"/>
    <col min="14" max="14" width="20.33203125" bestFit="1" customWidth="1"/>
  </cols>
  <sheetData>
    <row r="7" spans="3:14" x14ac:dyDescent="0.3">
      <c r="C7" s="19" t="s">
        <v>248</v>
      </c>
      <c r="D7" s="14" t="s">
        <v>257</v>
      </c>
      <c r="F7" s="19" t="s">
        <v>248</v>
      </c>
      <c r="G7" s="14" t="s">
        <v>250</v>
      </c>
      <c r="J7" s="19" t="s">
        <v>248</v>
      </c>
      <c r="K7" s="14" t="s">
        <v>251</v>
      </c>
      <c r="M7" s="19" t="s">
        <v>248</v>
      </c>
      <c r="N7" s="14" t="s">
        <v>288</v>
      </c>
    </row>
    <row r="8" spans="3:14" x14ac:dyDescent="0.3">
      <c r="C8" s="14" t="s">
        <v>254</v>
      </c>
      <c r="D8" s="15">
        <v>324000</v>
      </c>
      <c r="F8" s="14" t="s">
        <v>254</v>
      </c>
      <c r="G8" s="16">
        <v>42000</v>
      </c>
      <c r="J8" s="14" t="s">
        <v>254</v>
      </c>
      <c r="K8" s="14">
        <v>24</v>
      </c>
      <c r="M8" s="14" t="s">
        <v>254</v>
      </c>
      <c r="N8" s="14">
        <v>12</v>
      </c>
    </row>
    <row r="9" spans="3:14" x14ac:dyDescent="0.3">
      <c r="C9" s="14" t="s">
        <v>255</v>
      </c>
      <c r="D9" s="15">
        <v>374000</v>
      </c>
      <c r="F9" s="14" t="s">
        <v>255</v>
      </c>
      <c r="G9" s="15">
        <v>49500</v>
      </c>
      <c r="J9" s="14" t="s">
        <v>255</v>
      </c>
      <c r="K9" s="14">
        <v>11</v>
      </c>
      <c r="M9" s="14" t="s">
        <v>255</v>
      </c>
      <c r="N9" s="14">
        <v>11</v>
      </c>
    </row>
    <row r="10" spans="3:14" x14ac:dyDescent="0.3">
      <c r="C10" s="14" t="s">
        <v>256</v>
      </c>
      <c r="D10" s="15">
        <v>280000</v>
      </c>
      <c r="F10" s="14" t="s">
        <v>256</v>
      </c>
      <c r="G10" s="16">
        <v>40000</v>
      </c>
      <c r="J10" s="14" t="s">
        <v>256</v>
      </c>
      <c r="K10" s="14">
        <v>8</v>
      </c>
      <c r="M10" s="14" t="s">
        <v>256</v>
      </c>
      <c r="N10" s="14">
        <v>8</v>
      </c>
    </row>
    <row r="11" spans="3:14" x14ac:dyDescent="0.3">
      <c r="C11" s="14" t="s">
        <v>249</v>
      </c>
      <c r="D11" s="15">
        <v>978000</v>
      </c>
      <c r="F11" s="14" t="s">
        <v>249</v>
      </c>
      <c r="G11" s="15">
        <v>131500</v>
      </c>
      <c r="J11" s="14" t="s">
        <v>249</v>
      </c>
      <c r="K11" s="14">
        <v>43</v>
      </c>
      <c r="M11" s="14" t="s">
        <v>249</v>
      </c>
      <c r="N11" s="14">
        <v>31</v>
      </c>
    </row>
    <row r="15" spans="3:14" x14ac:dyDescent="0.3">
      <c r="D15" s="18">
        <f>GETPIVOTDATA("Order_Value",$C$7)</f>
        <v>978000</v>
      </c>
      <c r="E15" s="6"/>
      <c r="F15" s="6"/>
      <c r="G15" s="18">
        <f>GETPIVOTDATA("Profit",$F$7)</f>
        <v>131500</v>
      </c>
      <c r="H15" s="6"/>
      <c r="I15" s="6"/>
      <c r="J15" s="6"/>
      <c r="K15" s="20">
        <f>GETPIVOTDATA("Quantity",$J$7)</f>
        <v>43</v>
      </c>
      <c r="L15" s="6"/>
      <c r="M15" s="6"/>
      <c r="N15" s="20">
        <f>GETPIVOTDATA("Customer_ID",$M$7)</f>
        <v>31</v>
      </c>
    </row>
  </sheetData>
  <pageMargins left="0.7" right="0.7" top="0.75" bottom="0.75" header="0.3" footer="0.3"/>
  <drawing r:id="rId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4E703-B2F1-4E22-B4D7-03D6751091AC}">
  <dimension ref="E6:N13"/>
  <sheetViews>
    <sheetView topLeftCell="C1" workbookViewId="0">
      <selection activeCell="F7" sqref="F7"/>
    </sheetView>
  </sheetViews>
  <sheetFormatPr defaultRowHeight="14.4" x14ac:dyDescent="0.3"/>
  <cols>
    <col min="5" max="5" width="14.77734375" bestFit="1" customWidth="1"/>
    <col min="6" max="6" width="18.21875" bestFit="1" customWidth="1"/>
    <col min="7" max="7" width="12.109375" bestFit="1" customWidth="1"/>
    <col min="8" max="8" width="14.88671875" bestFit="1" customWidth="1"/>
    <col min="9" max="9" width="16.44140625" bestFit="1" customWidth="1"/>
    <col min="11" max="14" width="10.33203125" bestFit="1" customWidth="1"/>
  </cols>
  <sheetData>
    <row r="6" spans="5:14" x14ac:dyDescent="0.3">
      <c r="E6" s="19" t="s">
        <v>248</v>
      </c>
      <c r="F6" s="14" t="s">
        <v>257</v>
      </c>
      <c r="G6" s="14" t="s">
        <v>250</v>
      </c>
      <c r="H6" s="14" t="s">
        <v>251</v>
      </c>
      <c r="I6" s="14" t="s">
        <v>289</v>
      </c>
    </row>
    <row r="7" spans="5:14" x14ac:dyDescent="0.3">
      <c r="E7" s="14" t="s">
        <v>254</v>
      </c>
      <c r="F7" s="16">
        <v>324000</v>
      </c>
      <c r="G7" s="16">
        <v>42000</v>
      </c>
      <c r="H7" s="14">
        <v>24</v>
      </c>
      <c r="I7" s="14">
        <v>12</v>
      </c>
    </row>
    <row r="8" spans="5:14" x14ac:dyDescent="0.3">
      <c r="E8" s="14" t="s">
        <v>255</v>
      </c>
      <c r="F8" s="16">
        <v>374000</v>
      </c>
      <c r="G8" s="16">
        <v>49500</v>
      </c>
      <c r="H8" s="14">
        <v>11</v>
      </c>
      <c r="I8" s="14">
        <v>11</v>
      </c>
    </row>
    <row r="9" spans="5:14" x14ac:dyDescent="0.3">
      <c r="E9" s="14" t="s">
        <v>256</v>
      </c>
      <c r="F9" s="16">
        <v>280000</v>
      </c>
      <c r="G9" s="16">
        <v>40000</v>
      </c>
      <c r="H9" s="14">
        <v>8</v>
      </c>
      <c r="I9" s="14">
        <v>8</v>
      </c>
    </row>
    <row r="13" spans="5:14" x14ac:dyDescent="0.3">
      <c r="K13" s="21">
        <f>(GETPIVOTDATA("Sum of Order_Value",$E$6,"Months (Order_Date)",5)/GETPIVOTDATA("Sum of Order_Value",$E$6,"Months (Order_Date)",4))-1</f>
        <v>-0.25133689839572193</v>
      </c>
      <c r="L13" s="21">
        <f>(GETPIVOTDATA("Sum of Profit",$E$6,"Months (Order_Date)",5)/GETPIVOTDATA("Sum of Profit",$E$6,"Months (Order_Date)",4))-1</f>
        <v>-0.19191919191919193</v>
      </c>
      <c r="M13" s="21" t="e">
        <f>(GETPIVOTDATA("Sum of Quantity",$E$6,"Months (Order_Date)",4)/GETPIVOTDATA("Sum of Quantity",$E$6,"Months (Order_Date)",3))-1</f>
        <v>#REF!</v>
      </c>
      <c r="N13" s="21">
        <f>(GETPIVOTDATA("Count of Order_ID",$E$6,"Months (Order_Date)",5)/GETPIVOTDATA("Count of Order_ID",$E$6,"Months (Order_Date)",4))-1</f>
        <v>-0.27272727272727271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77C8E-C6AE-4FFB-9BAD-29BFF5B03F96}">
  <dimension ref="I20:O25"/>
  <sheetViews>
    <sheetView showGridLines="0" showRowColHeaders="0" tabSelected="1" zoomScale="55" zoomScaleNormal="112" workbookViewId="0">
      <selection activeCell="X39" sqref="X39"/>
    </sheetView>
  </sheetViews>
  <sheetFormatPr defaultRowHeight="14.4" x14ac:dyDescent="0.3"/>
  <sheetData>
    <row r="20" spans="9:15" x14ac:dyDescent="0.3">
      <c r="I20" s="21"/>
    </row>
    <row r="22" spans="9:15" x14ac:dyDescent="0.3">
      <c r="K22" s="21"/>
    </row>
    <row r="25" spans="9:15" x14ac:dyDescent="0.3">
      <c r="O25" s="21"/>
    </row>
  </sheetData>
  <pageMargins left="0.7" right="0.7" top="0.75" bottom="0.75" header="0.3" footer="0.3"/>
  <pageSetup scale="15" orientation="portrait" r:id="rId1"/>
  <drawing r:id="rId2"/>
  <legacy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Raw Data</vt:lpstr>
      <vt:lpstr>Calulation</vt:lpstr>
      <vt:lpstr>Combo Chart</vt:lpstr>
      <vt:lpstr>Waterfall Chart</vt:lpstr>
      <vt:lpstr>Pie Chart</vt:lpstr>
      <vt:lpstr>Top 5</vt:lpstr>
      <vt:lpstr>Map Chart</vt:lpstr>
      <vt:lpstr>KPI</vt:lpstr>
      <vt:lpstr>KPI MOM</vt:lpstr>
      <vt:lpstr> 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patil</dc:creator>
  <cp:lastModifiedBy>harshal patil</cp:lastModifiedBy>
  <dcterms:created xsi:type="dcterms:W3CDTF">2025-08-18T06:27:48Z</dcterms:created>
  <dcterms:modified xsi:type="dcterms:W3CDTF">2025-09-21T17:04:42Z</dcterms:modified>
</cp:coreProperties>
</file>